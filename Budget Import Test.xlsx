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Urness\Downloads\Design-Pulse\"/>
    </mc:Choice>
  </mc:AlternateContent>
  <xr:revisionPtr revIDLastSave="0" documentId="13_ncr:1_{1962819B-67A3-4091-968F-B43595E0F4B1}" xr6:coauthVersionLast="47" xr6:coauthVersionMax="47" xr10:uidLastSave="{00000000-0000-0000-0000-000000000000}"/>
  <bookViews>
    <workbookView xWindow="-110" yWindow="-110" windowWidth="19420" windowHeight="11500" tabRatio="796" firstSheet="1" activeTab="1" xr2:uid="{CC8F760A-0830-4527-A091-3EC2E09C44C0}"/>
  </bookViews>
  <sheets>
    <sheet name="US_Holidays__2025_2034_" sheetId="31" state="hidden" r:id="rId1"/>
    <sheet name="Budget Line Items" sheetId="28" r:id="rId2"/>
    <sheet name="Importer Data Fields" sheetId="29" r:id="rId3"/>
    <sheet name="Estimate - 6 - 02.24" sheetId="11" state="hidden" r:id="rId4"/>
    <sheet name="Estimate - 5 - 02.23" sheetId="10" state="hidden" r:id="rId5"/>
    <sheet name="General Conditions - Original" sheetId="1" state="hidden" r:id="rId6"/>
    <sheet name="Estimate - 4 - 02.22" sheetId="7" state="hidden" r:id="rId7"/>
    <sheet name="Estimate - 3 - 02.21.24" sheetId="6" state="hidden" r:id="rId8"/>
    <sheet name="Estimate (2)" sheetId="5" state="hidden" r:id="rId9"/>
    <sheet name="Estimate - Original" sheetId="3" state="hidden" r:id="rId10"/>
    <sheet name="Procore Cost Codes" sheetId="8" state="hidden" r:id="rId11"/>
    <sheet name="Colors" sheetId="4" state="hidden" r:id="rId12"/>
  </sheets>
  <externalReferences>
    <externalReference r:id="rId13"/>
    <externalReference r:id="rId14"/>
  </externalReferences>
  <definedNames>
    <definedName name="_xlnm._FilterDatabase" localSheetId="1" hidden="1">'Budget Line Items'!$A$1:$K$218</definedName>
    <definedName name="Canopy">'[1]Rough Carpentry'!#REF!</definedName>
    <definedName name="_xlnm.Criteria">#REF!</definedName>
    <definedName name="Decks">'[1]Rough Carpentry'!#REF!</definedName>
    <definedName name="GROSS">[2]Preliminary!$F$17</definedName>
    <definedName name="GSF">'[1]Length &amp; Area'!$B$20</definedName>
    <definedName name="Location">'[1]Project Information'!$B$5</definedName>
    <definedName name="Project">'[1]Project Information'!$B$4</definedName>
    <definedName name="Subtotal">#REF!</definedName>
    <definedName name="Surcharge_Warranty">#REF!</definedName>
    <definedName name="ToiletAccessories">'[1]Interior Takeoff'!#REF!</definedName>
    <definedName name="TotalCost">#REF!</definedName>
    <definedName name="Units">'[1]Unit Counts'!$J$35</definedName>
    <definedName name="Units2">[2]Preliminary!$I$20</definedName>
    <definedName name="WORK_ITE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5" i="11" l="1"/>
  <c r="G347" i="11"/>
  <c r="D357" i="11"/>
  <c r="D356" i="11"/>
  <c r="D355" i="11"/>
  <c r="D354" i="11"/>
  <c r="D353" i="11"/>
  <c r="D352" i="11"/>
  <c r="D351" i="11"/>
  <c r="H6" i="11"/>
  <c r="H345" i="11" s="1"/>
  <c r="G343" i="11" l="1"/>
  <c r="G344" i="11" s="1"/>
  <c r="G339" i="11"/>
  <c r="K339" i="11" s="1"/>
  <c r="G338" i="11"/>
  <c r="K338" i="11" s="1"/>
  <c r="G337" i="11"/>
  <c r="K337" i="11" s="1"/>
  <c r="G336" i="11"/>
  <c r="K336" i="11" s="1"/>
  <c r="G332" i="11"/>
  <c r="G331" i="11"/>
  <c r="K331" i="11" s="1"/>
  <c r="G330" i="11"/>
  <c r="K330" i="11" s="1"/>
  <c r="G329" i="11"/>
  <c r="K329" i="11" s="1"/>
  <c r="G328" i="11"/>
  <c r="K328" i="11" s="1"/>
  <c r="G327" i="11"/>
  <c r="K327" i="11" s="1"/>
  <c r="G326" i="11"/>
  <c r="K326" i="11" s="1"/>
  <c r="G325" i="11"/>
  <c r="K325" i="11" s="1"/>
  <c r="G324" i="11"/>
  <c r="K324" i="11" s="1"/>
  <c r="G323" i="11"/>
  <c r="K323" i="11" s="1"/>
  <c r="G322" i="11"/>
  <c r="K322" i="11" s="1"/>
  <c r="G321" i="11"/>
  <c r="K321" i="11" s="1"/>
  <c r="G320" i="11"/>
  <c r="K320" i="11" s="1"/>
  <c r="G319" i="11"/>
  <c r="K319" i="11" s="1"/>
  <c r="G318" i="11"/>
  <c r="K318" i="11" s="1"/>
  <c r="G317" i="11"/>
  <c r="K317" i="11" s="1"/>
  <c r="G316" i="11"/>
  <c r="K316" i="11" s="1"/>
  <c r="G312" i="11"/>
  <c r="K312" i="11" s="1"/>
  <c r="G311" i="11"/>
  <c r="K311" i="11" s="1"/>
  <c r="G310" i="11"/>
  <c r="K310" i="11" s="1"/>
  <c r="G309" i="11"/>
  <c r="G305" i="11"/>
  <c r="K305" i="11" s="1"/>
  <c r="G304" i="11"/>
  <c r="K304" i="11" s="1"/>
  <c r="G303" i="11"/>
  <c r="K303" i="11" s="1"/>
  <c r="G302" i="11"/>
  <c r="K302" i="11" s="1"/>
  <c r="G298" i="11"/>
  <c r="K298" i="11" s="1"/>
  <c r="G297" i="11"/>
  <c r="G293" i="11"/>
  <c r="K293" i="11" s="1"/>
  <c r="G292" i="11"/>
  <c r="G288" i="11"/>
  <c r="K288" i="11" s="1"/>
  <c r="G287" i="11"/>
  <c r="K287" i="11" s="1"/>
  <c r="G283" i="11"/>
  <c r="G282" i="11"/>
  <c r="K282" i="11" s="1"/>
  <c r="G278" i="11"/>
  <c r="K278" i="11" s="1"/>
  <c r="G277" i="11"/>
  <c r="G273" i="11"/>
  <c r="K273" i="11" s="1"/>
  <c r="G272" i="11"/>
  <c r="K272" i="11" s="1"/>
  <c r="G271" i="11"/>
  <c r="K271" i="11" s="1"/>
  <c r="G270" i="11"/>
  <c r="K270" i="11" s="1"/>
  <c r="G266" i="11"/>
  <c r="K266" i="11" s="1"/>
  <c r="G265" i="11"/>
  <c r="K265" i="11" s="1"/>
  <c r="G264" i="11"/>
  <c r="G263" i="11"/>
  <c r="K263" i="11" s="1"/>
  <c r="G259" i="11"/>
  <c r="K259" i="11" s="1"/>
  <c r="G258" i="11"/>
  <c r="K258" i="11" s="1"/>
  <c r="G257" i="11"/>
  <c r="K257" i="11" s="1"/>
  <c r="G256" i="11"/>
  <c r="K256" i="11" s="1"/>
  <c r="G255" i="11"/>
  <c r="K255" i="11" s="1"/>
  <c r="G254" i="11"/>
  <c r="K254" i="11" s="1"/>
  <c r="G253" i="11"/>
  <c r="K253" i="11" s="1"/>
  <c r="G252" i="11"/>
  <c r="K252" i="11" s="1"/>
  <c r="G248" i="11"/>
  <c r="K248" i="11" s="1"/>
  <c r="G247" i="11"/>
  <c r="K247" i="11" s="1"/>
  <c r="G246" i="11"/>
  <c r="K246" i="11" s="1"/>
  <c r="G245" i="11"/>
  <c r="K245" i="11" s="1"/>
  <c r="G244" i="11"/>
  <c r="G243" i="11"/>
  <c r="K243" i="11" s="1"/>
  <c r="G242" i="11"/>
  <c r="G238" i="11"/>
  <c r="K238" i="11" s="1"/>
  <c r="G237" i="11"/>
  <c r="K237" i="11" s="1"/>
  <c r="G236" i="11"/>
  <c r="K236" i="11" s="1"/>
  <c r="G235" i="11"/>
  <c r="K235" i="11" s="1"/>
  <c r="G234" i="11"/>
  <c r="K234" i="11" s="1"/>
  <c r="G233" i="11"/>
  <c r="K233" i="11" s="1"/>
  <c r="G232" i="11"/>
  <c r="K232" i="11" s="1"/>
  <c r="G231" i="11"/>
  <c r="K231" i="11" s="1"/>
  <c r="G230" i="11"/>
  <c r="K230" i="11" s="1"/>
  <c r="G229" i="11"/>
  <c r="K229" i="11" s="1"/>
  <c r="G228" i="11"/>
  <c r="K228" i="11" s="1"/>
  <c r="G227" i="11"/>
  <c r="K227" i="11" s="1"/>
  <c r="G226" i="11"/>
  <c r="K226" i="11" s="1"/>
  <c r="G225" i="11"/>
  <c r="K225" i="11" s="1"/>
  <c r="G224" i="11"/>
  <c r="K224" i="11" s="1"/>
  <c r="G223" i="11"/>
  <c r="K223" i="11" s="1"/>
  <c r="G222" i="11"/>
  <c r="K222" i="11" s="1"/>
  <c r="G221" i="11"/>
  <c r="K221" i="11" s="1"/>
  <c r="G220" i="11"/>
  <c r="K220" i="11" s="1"/>
  <c r="G219" i="11"/>
  <c r="K219" i="11" s="1"/>
  <c r="G218" i="11"/>
  <c r="G214" i="11"/>
  <c r="K214" i="11" s="1"/>
  <c r="K215" i="11" s="1"/>
  <c r="G212" i="11"/>
  <c r="G211" i="11"/>
  <c r="K211" i="11" s="1"/>
  <c r="G209" i="11"/>
  <c r="G210" i="11" s="1"/>
  <c r="H210" i="11" s="1"/>
  <c r="G207" i="11"/>
  <c r="K207" i="11" s="1"/>
  <c r="G206" i="11"/>
  <c r="K206" i="11" s="1"/>
  <c r="G204" i="11"/>
  <c r="G205" i="11" s="1"/>
  <c r="G202" i="11"/>
  <c r="G203" i="11" s="1"/>
  <c r="G200" i="11"/>
  <c r="G201" i="11" s="1"/>
  <c r="G198" i="11"/>
  <c r="K198" i="11" s="1"/>
  <c r="K199" i="11" s="1"/>
  <c r="G196" i="11"/>
  <c r="G197" i="11" s="1"/>
  <c r="G194" i="11"/>
  <c r="K194" i="11" s="1"/>
  <c r="G193" i="11"/>
  <c r="G189" i="11"/>
  <c r="K189" i="11" s="1"/>
  <c r="G188" i="11"/>
  <c r="K188" i="11" s="1"/>
  <c r="G186" i="11"/>
  <c r="K186" i="11" s="1"/>
  <c r="G185" i="11"/>
  <c r="K185" i="11" s="1"/>
  <c r="G184" i="11"/>
  <c r="G182" i="11"/>
  <c r="K182" i="11" s="1"/>
  <c r="K183" i="11" s="1"/>
  <c r="G180" i="11"/>
  <c r="K180" i="11" s="1"/>
  <c r="G179" i="11"/>
  <c r="G177" i="11"/>
  <c r="K177" i="11" s="1"/>
  <c r="G176" i="11"/>
  <c r="K176" i="11" s="1"/>
  <c r="G175" i="11"/>
  <c r="K175" i="11" s="1"/>
  <c r="G174" i="11"/>
  <c r="G170" i="11"/>
  <c r="K170" i="11" s="1"/>
  <c r="G169" i="11"/>
  <c r="K169" i="11" s="1"/>
  <c r="G168" i="11"/>
  <c r="G167" i="11"/>
  <c r="K167" i="11" s="1"/>
  <c r="G165" i="11"/>
  <c r="K165" i="11" s="1"/>
  <c r="G164" i="11"/>
  <c r="K164" i="11" s="1"/>
  <c r="G163" i="11"/>
  <c r="G161" i="11"/>
  <c r="K161" i="11" s="1"/>
  <c r="G160" i="11"/>
  <c r="G158" i="11"/>
  <c r="K158" i="11" s="1"/>
  <c r="G157" i="11"/>
  <c r="G155" i="11"/>
  <c r="K155" i="11" s="1"/>
  <c r="G154" i="11"/>
  <c r="K154" i="11" s="1"/>
  <c r="G153" i="11"/>
  <c r="K153" i="11" s="1"/>
  <c r="G152" i="11"/>
  <c r="G150" i="11"/>
  <c r="K150" i="11" s="1"/>
  <c r="G149" i="11"/>
  <c r="K149" i="11" s="1"/>
  <c r="G148" i="11"/>
  <c r="K148" i="11" s="1"/>
  <c r="G147" i="11"/>
  <c r="K147" i="11" s="1"/>
  <c r="G146" i="11"/>
  <c r="G145" i="11"/>
  <c r="K145" i="11" s="1"/>
  <c r="G144" i="11"/>
  <c r="K144" i="11" s="1"/>
  <c r="G143" i="11"/>
  <c r="G139" i="11"/>
  <c r="K139" i="11" s="1"/>
  <c r="G138" i="11"/>
  <c r="K138" i="11" s="1"/>
  <c r="G136" i="11"/>
  <c r="K136" i="11" s="1"/>
  <c r="G135" i="11"/>
  <c r="K135" i="11" s="1"/>
  <c r="G134" i="11"/>
  <c r="K134" i="11" s="1"/>
  <c r="G133" i="11"/>
  <c r="K133" i="11" s="1"/>
  <c r="G132" i="11"/>
  <c r="K132" i="11" s="1"/>
  <c r="G131" i="11"/>
  <c r="G129" i="11"/>
  <c r="K129" i="11" s="1"/>
  <c r="G128" i="11"/>
  <c r="K128" i="11" s="1"/>
  <c r="G127" i="11"/>
  <c r="K127" i="11" s="1"/>
  <c r="G126" i="11"/>
  <c r="K126" i="11" s="1"/>
  <c r="G125" i="11"/>
  <c r="K125" i="11" s="1"/>
  <c r="G121" i="11"/>
  <c r="K121" i="11" s="1"/>
  <c r="G120" i="11"/>
  <c r="K120" i="11" s="1"/>
  <c r="G119" i="11"/>
  <c r="K119" i="11" s="1"/>
  <c r="G118" i="11"/>
  <c r="K118" i="11" s="1"/>
  <c r="G117" i="11"/>
  <c r="K117" i="11" s="1"/>
  <c r="G116" i="11"/>
  <c r="K116" i="11" s="1"/>
  <c r="G115" i="11"/>
  <c r="K115" i="11" s="1"/>
  <c r="G111" i="11"/>
  <c r="K111" i="11" s="1"/>
  <c r="G110" i="11"/>
  <c r="K110" i="11" s="1"/>
  <c r="G109" i="11"/>
  <c r="K109" i="11" s="1"/>
  <c r="G105" i="11"/>
  <c r="K105" i="11" s="1"/>
  <c r="G104" i="11"/>
  <c r="K104" i="11" s="1"/>
  <c r="G102" i="11"/>
  <c r="K102" i="11" s="1"/>
  <c r="G101" i="11"/>
  <c r="G99" i="11"/>
  <c r="K99" i="11" s="1"/>
  <c r="K100" i="11" s="1"/>
  <c r="G97" i="11"/>
  <c r="K97" i="11" s="1"/>
  <c r="G96" i="11"/>
  <c r="K96" i="11" s="1"/>
  <c r="G95" i="11"/>
  <c r="K95" i="11" s="1"/>
  <c r="G94" i="11"/>
  <c r="K94" i="11" s="1"/>
  <c r="G93" i="11"/>
  <c r="K93" i="11" s="1"/>
  <c r="G92" i="11"/>
  <c r="K92" i="11" s="1"/>
  <c r="G91" i="11"/>
  <c r="K91" i="11" s="1"/>
  <c r="G90" i="11"/>
  <c r="K90" i="11" s="1"/>
  <c r="G89" i="11"/>
  <c r="G85" i="11"/>
  <c r="K85" i="11" s="1"/>
  <c r="G84" i="11"/>
  <c r="K84" i="11" s="1"/>
  <c r="G83" i="11"/>
  <c r="K83" i="11" s="1"/>
  <c r="G82" i="11"/>
  <c r="K82" i="11" s="1"/>
  <c r="G81" i="11"/>
  <c r="K81" i="11" s="1"/>
  <c r="G80" i="11"/>
  <c r="G78" i="11"/>
  <c r="K78" i="11" s="1"/>
  <c r="G77" i="11"/>
  <c r="K77" i="11" s="1"/>
  <c r="G76" i="11"/>
  <c r="K76" i="11" s="1"/>
  <c r="G75" i="11"/>
  <c r="K75" i="11" s="1"/>
  <c r="G74" i="11"/>
  <c r="K74" i="11" s="1"/>
  <c r="G73" i="11"/>
  <c r="G71" i="11"/>
  <c r="G70" i="11"/>
  <c r="K70" i="11" s="1"/>
  <c r="G69" i="11"/>
  <c r="K69" i="11" s="1"/>
  <c r="G68" i="11"/>
  <c r="K68" i="11" s="1"/>
  <c r="G67" i="11"/>
  <c r="K67" i="11" s="1"/>
  <c r="G66" i="11"/>
  <c r="K66" i="11" s="1"/>
  <c r="G65" i="11"/>
  <c r="G63" i="11"/>
  <c r="K63" i="11" s="1"/>
  <c r="K64" i="11" s="1"/>
  <c r="G61" i="11"/>
  <c r="K61" i="11" s="1"/>
  <c r="G60" i="11"/>
  <c r="K60" i="11" s="1"/>
  <c r="G59" i="11"/>
  <c r="K59" i="11" s="1"/>
  <c r="G58" i="11"/>
  <c r="K58" i="11" s="1"/>
  <c r="G57" i="11"/>
  <c r="K57" i="11" s="1"/>
  <c r="G56" i="11"/>
  <c r="K56" i="11" s="1"/>
  <c r="G55" i="11"/>
  <c r="K55" i="11" s="1"/>
  <c r="G54" i="11"/>
  <c r="K54" i="11" s="1"/>
  <c r="G53" i="11"/>
  <c r="K53" i="11" s="1"/>
  <c r="G52" i="11"/>
  <c r="K52" i="11" s="1"/>
  <c r="G51" i="11"/>
  <c r="K51" i="11" s="1"/>
  <c r="G50" i="11"/>
  <c r="K50" i="11" s="1"/>
  <c r="G49" i="11"/>
  <c r="K49" i="11" s="1"/>
  <c r="G48" i="11"/>
  <c r="K48" i="11" s="1"/>
  <c r="G47" i="11"/>
  <c r="K47" i="11" s="1"/>
  <c r="G46" i="11"/>
  <c r="K46" i="11" s="1"/>
  <c r="G45" i="11"/>
  <c r="K45" i="11" s="1"/>
  <c r="G41" i="11"/>
  <c r="G35" i="11"/>
  <c r="K35" i="11" s="1"/>
  <c r="G34" i="11"/>
  <c r="K34" i="11" s="1"/>
  <c r="G33" i="11"/>
  <c r="K33" i="11" s="1"/>
  <c r="G27" i="11"/>
  <c r="K27" i="11" s="1"/>
  <c r="G25" i="11"/>
  <c r="K25" i="11" s="1"/>
  <c r="G12" i="11"/>
  <c r="K12" i="11" s="1"/>
  <c r="G11" i="11"/>
  <c r="K11" i="11" s="1"/>
  <c r="G10" i="11"/>
  <c r="K10" i="11" s="1"/>
  <c r="G9" i="11"/>
  <c r="K9" i="11" s="1"/>
  <c r="L8" i="10"/>
  <c r="L9" i="10"/>
  <c r="L15" i="10"/>
  <c r="L19" i="10"/>
  <c r="L20" i="10"/>
  <c r="L22" i="10"/>
  <c r="L23" i="10"/>
  <c r="L24" i="10"/>
  <c r="L25" i="10"/>
  <c r="L31" i="10"/>
  <c r="L35" i="10"/>
  <c r="L36" i="10"/>
  <c r="L38" i="10"/>
  <c r="L39" i="10"/>
  <c r="L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7" i="10"/>
  <c r="H8" i="10"/>
  <c r="H9" i="10"/>
  <c r="H10" i="10"/>
  <c r="L10" i="10" s="1"/>
  <c r="H11" i="10"/>
  <c r="L11" i="10" s="1"/>
  <c r="H12" i="10"/>
  <c r="L12" i="10" s="1"/>
  <c r="H13" i="10"/>
  <c r="L13" i="10" s="1"/>
  <c r="H14" i="10"/>
  <c r="L14" i="10" s="1"/>
  <c r="H15" i="10"/>
  <c r="H16" i="10"/>
  <c r="L16" i="10" s="1"/>
  <c r="H17" i="10"/>
  <c r="L17" i="10" s="1"/>
  <c r="H18" i="10"/>
  <c r="L18" i="10" s="1"/>
  <c r="H19" i="10"/>
  <c r="H20" i="10"/>
  <c r="H21" i="10"/>
  <c r="L21" i="10" s="1"/>
  <c r="H22" i="10"/>
  <c r="H23" i="10"/>
  <c r="H24" i="10"/>
  <c r="H25" i="10"/>
  <c r="H26" i="10"/>
  <c r="L26" i="10" s="1"/>
  <c r="H27" i="10"/>
  <c r="L27" i="10" s="1"/>
  <c r="H28" i="10"/>
  <c r="L28" i="10" s="1"/>
  <c r="H29" i="10"/>
  <c r="L29" i="10" s="1"/>
  <c r="H30" i="10"/>
  <c r="L30" i="10" s="1"/>
  <c r="H31" i="10"/>
  <c r="H32" i="10"/>
  <c r="L32" i="10" s="1"/>
  <c r="H33" i="10"/>
  <c r="L33" i="10" s="1"/>
  <c r="H34" i="10"/>
  <c r="L34" i="10" s="1"/>
  <c r="H35" i="10"/>
  <c r="H36" i="10"/>
  <c r="H37" i="10"/>
  <c r="L37" i="10" s="1"/>
  <c r="H38" i="10"/>
  <c r="H39" i="10"/>
  <c r="H7" i="10"/>
  <c r="I357" i="10"/>
  <c r="I356" i="10"/>
  <c r="I355" i="10"/>
  <c r="H355" i="10"/>
  <c r="L355" i="10" s="1"/>
  <c r="I354" i="10"/>
  <c r="H354" i="10"/>
  <c r="L354" i="10" s="1"/>
  <c r="I353" i="10"/>
  <c r="H353" i="10"/>
  <c r="L353" i="10" s="1"/>
  <c r="I352" i="10"/>
  <c r="H352" i="10"/>
  <c r="L352" i="10" s="1"/>
  <c r="I351" i="10"/>
  <c r="H351" i="10"/>
  <c r="L351" i="10" s="1"/>
  <c r="I350" i="10"/>
  <c r="H350" i="10"/>
  <c r="L350" i="10" s="1"/>
  <c r="I349" i="10"/>
  <c r="H349" i="10"/>
  <c r="L349" i="10" s="1"/>
  <c r="I347" i="10"/>
  <c r="I346" i="10"/>
  <c r="I345" i="10"/>
  <c r="H345" i="10"/>
  <c r="H346" i="10" s="1"/>
  <c r="H347" i="10" s="1"/>
  <c r="I343" i="10"/>
  <c r="I342" i="10"/>
  <c r="I341" i="10"/>
  <c r="H341" i="10"/>
  <c r="L341" i="10" s="1"/>
  <c r="I340" i="10"/>
  <c r="H340" i="10"/>
  <c r="L340" i="10" s="1"/>
  <c r="I339" i="10"/>
  <c r="H339" i="10"/>
  <c r="L339" i="10" s="1"/>
  <c r="I338" i="10"/>
  <c r="H338" i="10"/>
  <c r="L338" i="10" s="1"/>
  <c r="I336" i="10"/>
  <c r="I335" i="10"/>
  <c r="I334" i="10"/>
  <c r="H334" i="10"/>
  <c r="L334" i="10" s="1"/>
  <c r="I333" i="10"/>
  <c r="H333" i="10"/>
  <c r="L333" i="10" s="1"/>
  <c r="I332" i="10"/>
  <c r="H332" i="10"/>
  <c r="L332" i="10" s="1"/>
  <c r="I331" i="10"/>
  <c r="H331" i="10"/>
  <c r="L331" i="10" s="1"/>
  <c r="I330" i="10"/>
  <c r="H330" i="10"/>
  <c r="L330" i="10" s="1"/>
  <c r="I329" i="10"/>
  <c r="H329" i="10"/>
  <c r="L329" i="10" s="1"/>
  <c r="I328" i="10"/>
  <c r="H328" i="10"/>
  <c r="L328" i="10" s="1"/>
  <c r="I327" i="10"/>
  <c r="H327" i="10"/>
  <c r="L327" i="10" s="1"/>
  <c r="I326" i="10"/>
  <c r="H326" i="10"/>
  <c r="L326" i="10" s="1"/>
  <c r="I325" i="10"/>
  <c r="H325" i="10"/>
  <c r="L325" i="10" s="1"/>
  <c r="I324" i="10"/>
  <c r="H324" i="10"/>
  <c r="L324" i="10" s="1"/>
  <c r="I323" i="10"/>
  <c r="H323" i="10"/>
  <c r="L323" i="10" s="1"/>
  <c r="I322" i="10"/>
  <c r="H322" i="10"/>
  <c r="L322" i="10" s="1"/>
  <c r="I321" i="10"/>
  <c r="H321" i="10"/>
  <c r="L321" i="10" s="1"/>
  <c r="I320" i="10"/>
  <c r="H320" i="10"/>
  <c r="L320" i="10" s="1"/>
  <c r="I319" i="10"/>
  <c r="H319" i="10"/>
  <c r="L319" i="10" s="1"/>
  <c r="I318" i="10"/>
  <c r="H318" i="10"/>
  <c r="I316" i="10"/>
  <c r="I315" i="10"/>
  <c r="I314" i="10"/>
  <c r="H314" i="10"/>
  <c r="L314" i="10" s="1"/>
  <c r="I313" i="10"/>
  <c r="H313" i="10"/>
  <c r="L313" i="10" s="1"/>
  <c r="I312" i="10"/>
  <c r="H312" i="10"/>
  <c r="L312" i="10" s="1"/>
  <c r="I311" i="10"/>
  <c r="H311" i="10"/>
  <c r="I309" i="10"/>
  <c r="I308" i="10"/>
  <c r="I307" i="10"/>
  <c r="H307" i="10"/>
  <c r="I306" i="10"/>
  <c r="H306" i="10"/>
  <c r="L306" i="10" s="1"/>
  <c r="I305" i="10"/>
  <c r="H305" i="10"/>
  <c r="L305" i="10" s="1"/>
  <c r="I304" i="10"/>
  <c r="H304" i="10"/>
  <c r="L304" i="10" s="1"/>
  <c r="I302" i="10"/>
  <c r="I301" i="10"/>
  <c r="I300" i="10"/>
  <c r="H300" i="10"/>
  <c r="L300" i="10" s="1"/>
  <c r="I299" i="10"/>
  <c r="H299" i="10"/>
  <c r="I297" i="10"/>
  <c r="I296" i="10"/>
  <c r="I295" i="10"/>
  <c r="H295" i="10"/>
  <c r="L295" i="10" s="1"/>
  <c r="I294" i="10"/>
  <c r="H294" i="10"/>
  <c r="L294" i="10" s="1"/>
  <c r="I292" i="10"/>
  <c r="I291" i="10"/>
  <c r="I290" i="10"/>
  <c r="H290" i="10"/>
  <c r="L290" i="10" s="1"/>
  <c r="I289" i="10"/>
  <c r="H289" i="10"/>
  <c r="L289" i="10" s="1"/>
  <c r="I287" i="10"/>
  <c r="I286" i="10"/>
  <c r="I285" i="10"/>
  <c r="H285" i="10"/>
  <c r="I284" i="10"/>
  <c r="H284" i="10"/>
  <c r="L284" i="10" s="1"/>
  <c r="I282" i="10"/>
  <c r="I281" i="10"/>
  <c r="I280" i="10"/>
  <c r="H280" i="10"/>
  <c r="L280" i="10" s="1"/>
  <c r="I279" i="10"/>
  <c r="H279" i="10"/>
  <c r="I277" i="10"/>
  <c r="I276" i="10"/>
  <c r="I275" i="10"/>
  <c r="H275" i="10"/>
  <c r="L275" i="10" s="1"/>
  <c r="I274" i="10"/>
  <c r="H274" i="10"/>
  <c r="L274" i="10" s="1"/>
  <c r="I273" i="10"/>
  <c r="H273" i="10"/>
  <c r="L273" i="10" s="1"/>
  <c r="I272" i="10"/>
  <c r="H272" i="10"/>
  <c r="I270" i="10"/>
  <c r="I269" i="10"/>
  <c r="I268" i="10"/>
  <c r="H268" i="10"/>
  <c r="I267" i="10"/>
  <c r="H267" i="10"/>
  <c r="L267" i="10" s="1"/>
  <c r="I266" i="10"/>
  <c r="H266" i="10"/>
  <c r="L266" i="10" s="1"/>
  <c r="I265" i="10"/>
  <c r="H265" i="10"/>
  <c r="L265" i="10" s="1"/>
  <c r="I263" i="10"/>
  <c r="I262" i="10"/>
  <c r="I261" i="10"/>
  <c r="H261" i="10"/>
  <c r="L261" i="10" s="1"/>
  <c r="I260" i="10"/>
  <c r="H260" i="10"/>
  <c r="L260" i="10" s="1"/>
  <c r="I259" i="10"/>
  <c r="H259" i="10"/>
  <c r="L259" i="10" s="1"/>
  <c r="I258" i="10"/>
  <c r="H258" i="10"/>
  <c r="L258" i="10" s="1"/>
  <c r="I257" i="10"/>
  <c r="H257" i="10"/>
  <c r="L257" i="10" s="1"/>
  <c r="I256" i="10"/>
  <c r="H256" i="10"/>
  <c r="L256" i="10" s="1"/>
  <c r="I255" i="10"/>
  <c r="H255" i="10"/>
  <c r="L255" i="10" s="1"/>
  <c r="I254" i="10"/>
  <c r="H254" i="10"/>
  <c r="I252" i="10"/>
  <c r="I251" i="10"/>
  <c r="I250" i="10"/>
  <c r="H250" i="10"/>
  <c r="I249" i="10"/>
  <c r="H249" i="10"/>
  <c r="L249" i="10" s="1"/>
  <c r="I248" i="10"/>
  <c r="H248" i="10"/>
  <c r="L248" i="10" s="1"/>
  <c r="I247" i="10"/>
  <c r="H247" i="10"/>
  <c r="L247" i="10" s="1"/>
  <c r="I246" i="10"/>
  <c r="H246" i="10"/>
  <c r="L246" i="10" s="1"/>
  <c r="I245" i="10"/>
  <c r="H245" i="10"/>
  <c r="L245" i="10" s="1"/>
  <c r="I244" i="10"/>
  <c r="H244" i="10"/>
  <c r="L244" i="10" s="1"/>
  <c r="I242" i="10"/>
  <c r="I241" i="10"/>
  <c r="I240" i="10"/>
  <c r="H240" i="10"/>
  <c r="L240" i="10" s="1"/>
  <c r="I239" i="10"/>
  <c r="H239" i="10"/>
  <c r="L239" i="10" s="1"/>
  <c r="I238" i="10"/>
  <c r="H238" i="10"/>
  <c r="L238" i="10" s="1"/>
  <c r="I237" i="10"/>
  <c r="H237" i="10"/>
  <c r="L237" i="10" s="1"/>
  <c r="I236" i="10"/>
  <c r="H236" i="10"/>
  <c r="L236" i="10" s="1"/>
  <c r="I235" i="10"/>
  <c r="H235" i="10"/>
  <c r="L235" i="10" s="1"/>
  <c r="I234" i="10"/>
  <c r="H234" i="10"/>
  <c r="L234" i="10" s="1"/>
  <c r="I233" i="10"/>
  <c r="H233" i="10"/>
  <c r="L233" i="10" s="1"/>
  <c r="I232" i="10"/>
  <c r="H232" i="10"/>
  <c r="L232" i="10" s="1"/>
  <c r="I231" i="10"/>
  <c r="H231" i="10"/>
  <c r="L231" i="10" s="1"/>
  <c r="I230" i="10"/>
  <c r="H230" i="10"/>
  <c r="L230" i="10" s="1"/>
  <c r="I229" i="10"/>
  <c r="H229" i="10"/>
  <c r="L229" i="10" s="1"/>
  <c r="I228" i="10"/>
  <c r="H228" i="10"/>
  <c r="L228" i="10" s="1"/>
  <c r="I227" i="10"/>
  <c r="H227" i="10"/>
  <c r="L227" i="10" s="1"/>
  <c r="I226" i="10"/>
  <c r="H226" i="10"/>
  <c r="L226" i="10" s="1"/>
  <c r="I225" i="10"/>
  <c r="H225" i="10"/>
  <c r="I224" i="10"/>
  <c r="H224" i="10"/>
  <c r="L224" i="10" s="1"/>
  <c r="I223" i="10"/>
  <c r="H223" i="10"/>
  <c r="L223" i="10" s="1"/>
  <c r="I222" i="10"/>
  <c r="H222" i="10"/>
  <c r="L222" i="10" s="1"/>
  <c r="I221" i="10"/>
  <c r="H221" i="10"/>
  <c r="L221" i="10" s="1"/>
  <c r="I220" i="10"/>
  <c r="H220" i="10"/>
  <c r="L220" i="10" s="1"/>
  <c r="I218" i="10"/>
  <c r="I217" i="10"/>
  <c r="I216" i="10"/>
  <c r="H216" i="10"/>
  <c r="H217" i="10" s="1"/>
  <c r="I215" i="10"/>
  <c r="I214" i="10"/>
  <c r="H214" i="10"/>
  <c r="I213" i="10"/>
  <c r="H213" i="10"/>
  <c r="L213" i="10" s="1"/>
  <c r="I212" i="10"/>
  <c r="I211" i="10"/>
  <c r="H211" i="10"/>
  <c r="H212" i="10" s="1"/>
  <c r="I210" i="10"/>
  <c r="I209" i="10"/>
  <c r="H209" i="10"/>
  <c r="L209" i="10" s="1"/>
  <c r="I208" i="10"/>
  <c r="H208" i="10"/>
  <c r="I207" i="10"/>
  <c r="I206" i="10"/>
  <c r="H206" i="10"/>
  <c r="L206" i="10" s="1"/>
  <c r="L207" i="10" s="1"/>
  <c r="I205" i="10"/>
  <c r="I204" i="10"/>
  <c r="H204" i="10"/>
  <c r="H205" i="10" s="1"/>
  <c r="I203" i="10"/>
  <c r="I202" i="10"/>
  <c r="H202" i="10"/>
  <c r="H203" i="10" s="1"/>
  <c r="I201" i="10"/>
  <c r="I200" i="10"/>
  <c r="H200" i="10"/>
  <c r="H201" i="10" s="1"/>
  <c r="I199" i="10"/>
  <c r="I198" i="10"/>
  <c r="H198" i="10"/>
  <c r="H199" i="10" s="1"/>
  <c r="I197" i="10"/>
  <c r="I196" i="10"/>
  <c r="H196" i="10"/>
  <c r="L196" i="10" s="1"/>
  <c r="I195" i="10"/>
  <c r="H195" i="10"/>
  <c r="I193" i="10"/>
  <c r="I192" i="10"/>
  <c r="I191" i="10"/>
  <c r="H191" i="10"/>
  <c r="I190" i="10"/>
  <c r="H190" i="10"/>
  <c r="L190" i="10" s="1"/>
  <c r="I189" i="10"/>
  <c r="I188" i="10"/>
  <c r="H188" i="10"/>
  <c r="L188" i="10" s="1"/>
  <c r="I187" i="10"/>
  <c r="H187" i="10"/>
  <c r="L187" i="10" s="1"/>
  <c r="I186" i="10"/>
  <c r="H186" i="10"/>
  <c r="I185" i="10"/>
  <c r="I184" i="10"/>
  <c r="H184" i="10"/>
  <c r="H185" i="10" s="1"/>
  <c r="I183" i="10"/>
  <c r="I182" i="10"/>
  <c r="H182" i="10"/>
  <c r="L182" i="10" s="1"/>
  <c r="I181" i="10"/>
  <c r="H181" i="10"/>
  <c r="L181" i="10" s="1"/>
  <c r="I180" i="10"/>
  <c r="I179" i="10"/>
  <c r="H179" i="10"/>
  <c r="L179" i="10" s="1"/>
  <c r="I178" i="10"/>
  <c r="H178" i="10"/>
  <c r="L178" i="10" s="1"/>
  <c r="I177" i="10"/>
  <c r="H177" i="10"/>
  <c r="L177" i="10" s="1"/>
  <c r="I176" i="10"/>
  <c r="H176" i="10"/>
  <c r="L176" i="10" s="1"/>
  <c r="I174" i="10"/>
  <c r="I173" i="10"/>
  <c r="I172" i="10"/>
  <c r="H172" i="10"/>
  <c r="L172" i="10" s="1"/>
  <c r="I171" i="10"/>
  <c r="H171" i="10"/>
  <c r="L171" i="10" s="1"/>
  <c r="I170" i="10"/>
  <c r="H170" i="10"/>
  <c r="L170" i="10" s="1"/>
  <c r="I169" i="10"/>
  <c r="H169" i="10"/>
  <c r="I168" i="10"/>
  <c r="I167" i="10"/>
  <c r="H167" i="10"/>
  <c r="L167" i="10" s="1"/>
  <c r="I166" i="10"/>
  <c r="H166" i="10"/>
  <c r="L166" i="10" s="1"/>
  <c r="I165" i="10"/>
  <c r="H165" i="10"/>
  <c r="I164" i="10"/>
  <c r="I163" i="10"/>
  <c r="H163" i="10"/>
  <c r="L163" i="10" s="1"/>
  <c r="I162" i="10"/>
  <c r="H162" i="10"/>
  <c r="L162" i="10" s="1"/>
  <c r="I161" i="10"/>
  <c r="I160" i="10"/>
  <c r="H160" i="10"/>
  <c r="L160" i="10" s="1"/>
  <c r="I159" i="10"/>
  <c r="H159" i="10"/>
  <c r="L159" i="10" s="1"/>
  <c r="I158" i="10"/>
  <c r="I157" i="10"/>
  <c r="H157" i="10"/>
  <c r="L157" i="10" s="1"/>
  <c r="I156" i="10"/>
  <c r="H156" i="10"/>
  <c r="L156" i="10" s="1"/>
  <c r="I155" i="10"/>
  <c r="H155" i="10"/>
  <c r="L155" i="10" s="1"/>
  <c r="I154" i="10"/>
  <c r="H154" i="10"/>
  <c r="L154" i="10" s="1"/>
  <c r="I153" i="10"/>
  <c r="I152" i="10"/>
  <c r="H152" i="10"/>
  <c r="L152" i="10" s="1"/>
  <c r="I151" i="10"/>
  <c r="H151" i="10"/>
  <c r="L151" i="10" s="1"/>
  <c r="I150" i="10"/>
  <c r="H150" i="10"/>
  <c r="L150" i="10" s="1"/>
  <c r="I149" i="10"/>
  <c r="H149" i="10"/>
  <c r="L149" i="10" s="1"/>
  <c r="I148" i="10"/>
  <c r="H148" i="10"/>
  <c r="L148" i="10" s="1"/>
  <c r="I147" i="10"/>
  <c r="H147" i="10"/>
  <c r="L147" i="10" s="1"/>
  <c r="I146" i="10"/>
  <c r="H146" i="10"/>
  <c r="L146" i="10" s="1"/>
  <c r="I145" i="10"/>
  <c r="H145" i="10"/>
  <c r="I143" i="10"/>
  <c r="I142" i="10"/>
  <c r="I141" i="10"/>
  <c r="H141" i="10"/>
  <c r="I140" i="10"/>
  <c r="H140" i="10"/>
  <c r="L140" i="10" s="1"/>
  <c r="I139" i="10"/>
  <c r="I138" i="10"/>
  <c r="H138" i="10"/>
  <c r="L138" i="10" s="1"/>
  <c r="I137" i="10"/>
  <c r="H137" i="10"/>
  <c r="L137" i="10" s="1"/>
  <c r="I136" i="10"/>
  <c r="H136" i="10"/>
  <c r="L136" i="10" s="1"/>
  <c r="I135" i="10"/>
  <c r="H135" i="10"/>
  <c r="L135" i="10" s="1"/>
  <c r="I134" i="10"/>
  <c r="H134" i="10"/>
  <c r="L134" i="10" s="1"/>
  <c r="I133" i="10"/>
  <c r="H133" i="10"/>
  <c r="I132" i="10"/>
  <c r="I131" i="10"/>
  <c r="H131" i="10"/>
  <c r="L131" i="10" s="1"/>
  <c r="I130" i="10"/>
  <c r="H130" i="10"/>
  <c r="L130" i="10" s="1"/>
  <c r="I129" i="10"/>
  <c r="H129" i="10"/>
  <c r="L129" i="10" s="1"/>
  <c r="I128" i="10"/>
  <c r="H128" i="10"/>
  <c r="I127" i="10"/>
  <c r="H127" i="10"/>
  <c r="L127" i="10" s="1"/>
  <c r="I125" i="10"/>
  <c r="I124" i="10"/>
  <c r="I123" i="10"/>
  <c r="H123" i="10"/>
  <c r="L123" i="10" s="1"/>
  <c r="I122" i="10"/>
  <c r="H122" i="10"/>
  <c r="L122" i="10" s="1"/>
  <c r="I121" i="10"/>
  <c r="H121" i="10"/>
  <c r="L121" i="10" s="1"/>
  <c r="I120" i="10"/>
  <c r="H120" i="10"/>
  <c r="L120" i="10" s="1"/>
  <c r="I119" i="10"/>
  <c r="H119" i="10"/>
  <c r="L119" i="10" s="1"/>
  <c r="I118" i="10"/>
  <c r="H118" i="10"/>
  <c r="L118" i="10" s="1"/>
  <c r="I117" i="10"/>
  <c r="H117" i="10"/>
  <c r="L117" i="10" s="1"/>
  <c r="I115" i="10"/>
  <c r="I114" i="10"/>
  <c r="I113" i="10"/>
  <c r="H113" i="10"/>
  <c r="I112" i="10"/>
  <c r="H112" i="10"/>
  <c r="L112" i="10" s="1"/>
  <c r="I111" i="10"/>
  <c r="H111" i="10"/>
  <c r="L111" i="10" s="1"/>
  <c r="I109" i="10"/>
  <c r="I108" i="10"/>
  <c r="I107" i="10"/>
  <c r="H107" i="10"/>
  <c r="L107" i="10" s="1"/>
  <c r="I106" i="10"/>
  <c r="H106" i="10"/>
  <c r="I105" i="10"/>
  <c r="I104" i="10"/>
  <c r="H104" i="10"/>
  <c r="L104" i="10" s="1"/>
  <c r="I103" i="10"/>
  <c r="H103" i="10"/>
  <c r="I102" i="10"/>
  <c r="I101" i="10"/>
  <c r="H101" i="10"/>
  <c r="H102" i="10" s="1"/>
  <c r="I100" i="10"/>
  <c r="I99" i="10"/>
  <c r="H99" i="10"/>
  <c r="L99" i="10" s="1"/>
  <c r="I98" i="10"/>
  <c r="H98" i="10"/>
  <c r="L98" i="10" s="1"/>
  <c r="I97" i="10"/>
  <c r="H97" i="10"/>
  <c r="L97" i="10" s="1"/>
  <c r="I96" i="10"/>
  <c r="H96" i="10"/>
  <c r="L96" i="10" s="1"/>
  <c r="I95" i="10"/>
  <c r="H95" i="10"/>
  <c r="L95" i="10" s="1"/>
  <c r="I94" i="10"/>
  <c r="H94" i="10"/>
  <c r="L94" i="10" s="1"/>
  <c r="I93" i="10"/>
  <c r="H93" i="10"/>
  <c r="L93" i="10" s="1"/>
  <c r="I92" i="10"/>
  <c r="H92" i="10"/>
  <c r="L92" i="10" s="1"/>
  <c r="I91" i="10"/>
  <c r="H91" i="10"/>
  <c r="L91" i="10" s="1"/>
  <c r="I89" i="10"/>
  <c r="I88" i="10"/>
  <c r="I87" i="10"/>
  <c r="H87" i="10"/>
  <c r="L87" i="10" s="1"/>
  <c r="I86" i="10"/>
  <c r="H86" i="10"/>
  <c r="L86" i="10" s="1"/>
  <c r="I85" i="10"/>
  <c r="H85" i="10"/>
  <c r="L85" i="10" s="1"/>
  <c r="I84" i="10"/>
  <c r="H84" i="10"/>
  <c r="L84" i="10" s="1"/>
  <c r="I83" i="10"/>
  <c r="H83" i="10"/>
  <c r="L83" i="10" s="1"/>
  <c r="I82" i="10"/>
  <c r="H82" i="10"/>
  <c r="I81" i="10"/>
  <c r="I80" i="10"/>
  <c r="H80" i="10"/>
  <c r="L80" i="10" s="1"/>
  <c r="I79" i="10"/>
  <c r="H79" i="10"/>
  <c r="L79" i="10" s="1"/>
  <c r="I78" i="10"/>
  <c r="H78" i="10"/>
  <c r="L78" i="10" s="1"/>
  <c r="I77" i="10"/>
  <c r="H77" i="10"/>
  <c r="L77" i="10" s="1"/>
  <c r="I76" i="10"/>
  <c r="H76" i="10"/>
  <c r="L76" i="10" s="1"/>
  <c r="I75" i="10"/>
  <c r="H75" i="10"/>
  <c r="L75" i="10" s="1"/>
  <c r="I74" i="10"/>
  <c r="I73" i="10"/>
  <c r="H73" i="10"/>
  <c r="L73" i="10" s="1"/>
  <c r="I72" i="10"/>
  <c r="H72" i="10"/>
  <c r="L72" i="10" s="1"/>
  <c r="I71" i="10"/>
  <c r="H71" i="10"/>
  <c r="L71" i="10" s="1"/>
  <c r="I70" i="10"/>
  <c r="H70" i="10"/>
  <c r="L70" i="10" s="1"/>
  <c r="I69" i="10"/>
  <c r="H69" i="10"/>
  <c r="L69" i="10" s="1"/>
  <c r="I68" i="10"/>
  <c r="H68" i="10"/>
  <c r="L68" i="10" s="1"/>
  <c r="I67" i="10"/>
  <c r="H67" i="10"/>
  <c r="I66" i="10"/>
  <c r="I65" i="10"/>
  <c r="H65" i="10"/>
  <c r="H66" i="10" s="1"/>
  <c r="I64" i="10"/>
  <c r="I63" i="10"/>
  <c r="H63" i="10"/>
  <c r="L63" i="10" s="1"/>
  <c r="I62" i="10"/>
  <c r="H62" i="10"/>
  <c r="L62" i="10" s="1"/>
  <c r="I61" i="10"/>
  <c r="H61" i="10"/>
  <c r="L61" i="10" s="1"/>
  <c r="I60" i="10"/>
  <c r="H60" i="10"/>
  <c r="L60" i="10" s="1"/>
  <c r="I59" i="10"/>
  <c r="H59" i="10"/>
  <c r="L59" i="10" s="1"/>
  <c r="I58" i="10"/>
  <c r="H58" i="10"/>
  <c r="L58" i="10" s="1"/>
  <c r="I57" i="10"/>
  <c r="H57" i="10"/>
  <c r="L57" i="10" s="1"/>
  <c r="I56" i="10"/>
  <c r="H56" i="10"/>
  <c r="L56" i="10" s="1"/>
  <c r="I55" i="10"/>
  <c r="H55" i="10"/>
  <c r="L55" i="10" s="1"/>
  <c r="I54" i="10"/>
  <c r="H54" i="10"/>
  <c r="L54" i="10" s="1"/>
  <c r="I53" i="10"/>
  <c r="H53" i="10"/>
  <c r="L53" i="10" s="1"/>
  <c r="I52" i="10"/>
  <c r="H52" i="10"/>
  <c r="L52" i="10" s="1"/>
  <c r="I51" i="10"/>
  <c r="H51" i="10"/>
  <c r="L51" i="10" s="1"/>
  <c r="I50" i="10"/>
  <c r="H50" i="10"/>
  <c r="L50" i="10" s="1"/>
  <c r="I49" i="10"/>
  <c r="H49" i="10"/>
  <c r="L49" i="10" s="1"/>
  <c r="I48" i="10"/>
  <c r="H48" i="10"/>
  <c r="L48" i="10" s="1"/>
  <c r="I47" i="10"/>
  <c r="H47" i="10"/>
  <c r="L317" i="7"/>
  <c r="L307" i="7"/>
  <c r="L303" i="7"/>
  <c r="L296" i="7"/>
  <c r="L276" i="7"/>
  <c r="L269" i="7"/>
  <c r="L262" i="7"/>
  <c r="L257" i="7"/>
  <c r="L252" i="7"/>
  <c r="L247" i="7"/>
  <c r="L242" i="7"/>
  <c r="L237" i="7"/>
  <c r="L230" i="7"/>
  <c r="L223" i="7"/>
  <c r="L212" i="7"/>
  <c r="L202" i="7"/>
  <c r="L178" i="7"/>
  <c r="L153" i="7"/>
  <c r="L134" i="7"/>
  <c r="L103" i="7"/>
  <c r="L85" i="7"/>
  <c r="L75" i="7"/>
  <c r="L69" i="7"/>
  <c r="L49" i="7"/>
  <c r="L316" i="7"/>
  <c r="L306" i="7"/>
  <c r="L302" i="7"/>
  <c r="L295" i="7"/>
  <c r="L275" i="7"/>
  <c r="L268" i="7"/>
  <c r="L261" i="7"/>
  <c r="L256" i="7"/>
  <c r="L251" i="7"/>
  <c r="L246" i="7"/>
  <c r="L241" i="7"/>
  <c r="L236" i="7"/>
  <c r="L229" i="7"/>
  <c r="L222" i="7"/>
  <c r="L211" i="7"/>
  <c r="L201" i="7"/>
  <c r="L177" i="7"/>
  <c r="L175" i="7"/>
  <c r="L172" i="7"/>
  <c r="L170" i="7"/>
  <c r="L167" i="7"/>
  <c r="L165" i="7"/>
  <c r="L163" i="7"/>
  <c r="L161" i="7"/>
  <c r="L159" i="7"/>
  <c r="L157" i="7"/>
  <c r="L152" i="7"/>
  <c r="L149" i="7"/>
  <c r="L145" i="7"/>
  <c r="L143" i="7"/>
  <c r="L140" i="7"/>
  <c r="L133" i="7"/>
  <c r="L128" i="7"/>
  <c r="L124" i="7"/>
  <c r="L121" i="7"/>
  <c r="L118" i="7"/>
  <c r="L113" i="7"/>
  <c r="L102" i="7"/>
  <c r="L99" i="7"/>
  <c r="L92" i="7"/>
  <c r="H92" i="7"/>
  <c r="L84" i="7"/>
  <c r="L74" i="7"/>
  <c r="L68" i="7"/>
  <c r="L65" i="7"/>
  <c r="L62" i="7"/>
  <c r="L60" i="7"/>
  <c r="L48" i="7"/>
  <c r="L41" i="7"/>
  <c r="L24" i="7"/>
  <c r="L26" i="7"/>
  <c r="L34" i="7"/>
  <c r="L315" i="7"/>
  <c r="L314" i="7"/>
  <c r="L313" i="7"/>
  <c r="L312" i="7"/>
  <c r="L311" i="7"/>
  <c r="L310" i="7"/>
  <c r="L309" i="7"/>
  <c r="L305" i="7"/>
  <c r="L301" i="7"/>
  <c r="L300" i="7"/>
  <c r="L299" i="7"/>
  <c r="L298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4" i="7"/>
  <c r="L273" i="7"/>
  <c r="L272" i="7"/>
  <c r="L271" i="7"/>
  <c r="L267" i="7"/>
  <c r="L266" i="7"/>
  <c r="L265" i="7"/>
  <c r="L264" i="7"/>
  <c r="L260" i="7"/>
  <c r="L259" i="7"/>
  <c r="L255" i="7"/>
  <c r="L254" i="7"/>
  <c r="L250" i="7"/>
  <c r="L249" i="7"/>
  <c r="L245" i="7"/>
  <c r="L244" i="7"/>
  <c r="L240" i="7"/>
  <c r="L239" i="7"/>
  <c r="L235" i="7"/>
  <c r="L234" i="7"/>
  <c r="L233" i="7"/>
  <c r="L232" i="7"/>
  <c r="L228" i="7"/>
  <c r="L227" i="7"/>
  <c r="L226" i="7"/>
  <c r="L225" i="7"/>
  <c r="L221" i="7"/>
  <c r="L220" i="7"/>
  <c r="L219" i="7"/>
  <c r="L218" i="7"/>
  <c r="L217" i="7"/>
  <c r="L216" i="7"/>
  <c r="L215" i="7"/>
  <c r="L214" i="7"/>
  <c r="L210" i="7"/>
  <c r="L209" i="7"/>
  <c r="L208" i="7"/>
  <c r="L207" i="7"/>
  <c r="L206" i="7"/>
  <c r="L205" i="7"/>
  <c r="L204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6" i="7"/>
  <c r="L174" i="7"/>
  <c r="L173" i="7"/>
  <c r="L171" i="7"/>
  <c r="L169" i="7"/>
  <c r="L168" i="7"/>
  <c r="L166" i="7"/>
  <c r="L164" i="7"/>
  <c r="L162" i="7"/>
  <c r="L160" i="7"/>
  <c r="L158" i="7"/>
  <c r="L156" i="7"/>
  <c r="L155" i="7"/>
  <c r="L151" i="7"/>
  <c r="L150" i="7"/>
  <c r="L148" i="7"/>
  <c r="L147" i="7"/>
  <c r="L146" i="7"/>
  <c r="L144" i="7"/>
  <c r="L142" i="7"/>
  <c r="L141" i="7"/>
  <c r="L139" i="7"/>
  <c r="L138" i="7"/>
  <c r="L137" i="7"/>
  <c r="L136" i="7"/>
  <c r="L132" i="7"/>
  <c r="L131" i="7"/>
  <c r="L130" i="7"/>
  <c r="L129" i="7"/>
  <c r="L127" i="7"/>
  <c r="L126" i="7"/>
  <c r="L125" i="7"/>
  <c r="L123" i="7"/>
  <c r="L122" i="7"/>
  <c r="L120" i="7"/>
  <c r="L119" i="7"/>
  <c r="L117" i="7"/>
  <c r="L116" i="7"/>
  <c r="L115" i="7"/>
  <c r="L114" i="7"/>
  <c r="L112" i="7"/>
  <c r="L111" i="7"/>
  <c r="L110" i="7"/>
  <c r="L109" i="7"/>
  <c r="L108" i="7"/>
  <c r="L107" i="7"/>
  <c r="L106" i="7"/>
  <c r="L105" i="7"/>
  <c r="L101" i="7"/>
  <c r="L100" i="7"/>
  <c r="L98" i="7"/>
  <c r="L97" i="7"/>
  <c r="L96" i="7"/>
  <c r="L95" i="7"/>
  <c r="L94" i="7"/>
  <c r="L93" i="7"/>
  <c r="L91" i="7"/>
  <c r="L90" i="7"/>
  <c r="L89" i="7"/>
  <c r="L88" i="7"/>
  <c r="L87" i="7"/>
  <c r="L83" i="7"/>
  <c r="L82" i="7"/>
  <c r="L81" i="7"/>
  <c r="L80" i="7"/>
  <c r="L79" i="7"/>
  <c r="L78" i="7"/>
  <c r="L77" i="7"/>
  <c r="L73" i="7"/>
  <c r="L72" i="7"/>
  <c r="L71" i="7"/>
  <c r="L67" i="7"/>
  <c r="L66" i="7"/>
  <c r="L64" i="7"/>
  <c r="L63" i="7"/>
  <c r="L61" i="7"/>
  <c r="L59" i="7"/>
  <c r="L58" i="7"/>
  <c r="L57" i="7"/>
  <c r="L56" i="7"/>
  <c r="L55" i="7"/>
  <c r="L54" i="7"/>
  <c r="L53" i="7"/>
  <c r="L52" i="7"/>
  <c r="L51" i="7"/>
  <c r="L47" i="7"/>
  <c r="L46" i="7"/>
  <c r="L45" i="7"/>
  <c r="L44" i="7"/>
  <c r="L43" i="7"/>
  <c r="L42" i="7"/>
  <c r="L40" i="7"/>
  <c r="L39" i="7"/>
  <c r="L38" i="7"/>
  <c r="L37" i="7"/>
  <c r="L36" i="7"/>
  <c r="L35" i="7"/>
  <c r="L33" i="7"/>
  <c r="L32" i="7"/>
  <c r="L31" i="7"/>
  <c r="L30" i="7"/>
  <c r="L29" i="7"/>
  <c r="L28" i="7"/>
  <c r="L27" i="7"/>
  <c r="L25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7" i="7"/>
  <c r="I317" i="7"/>
  <c r="I316" i="7"/>
  <c r="I315" i="7"/>
  <c r="H315" i="7"/>
  <c r="I314" i="7"/>
  <c r="H314" i="7"/>
  <c r="I313" i="7"/>
  <c r="H313" i="7"/>
  <c r="I312" i="7"/>
  <c r="H312" i="7"/>
  <c r="H316" i="7" s="1"/>
  <c r="H317" i="7" s="1"/>
  <c r="I311" i="7"/>
  <c r="H311" i="7"/>
  <c r="I310" i="7"/>
  <c r="H310" i="7"/>
  <c r="I309" i="7"/>
  <c r="H309" i="7"/>
  <c r="I307" i="7"/>
  <c r="I306" i="7"/>
  <c r="I305" i="7"/>
  <c r="H305" i="7"/>
  <c r="H306" i="7" s="1"/>
  <c r="H307" i="7" s="1"/>
  <c r="I303" i="7"/>
  <c r="I302" i="7"/>
  <c r="H302" i="7"/>
  <c r="H303" i="7" s="1"/>
  <c r="I301" i="7"/>
  <c r="H301" i="7"/>
  <c r="I300" i="7"/>
  <c r="H300" i="7"/>
  <c r="I299" i="7"/>
  <c r="H299" i="7"/>
  <c r="I298" i="7"/>
  <c r="H298" i="7"/>
  <c r="I296" i="7"/>
  <c r="I295" i="7"/>
  <c r="I294" i="7"/>
  <c r="H294" i="7"/>
  <c r="I293" i="7"/>
  <c r="H293" i="7"/>
  <c r="I292" i="7"/>
  <c r="H292" i="7"/>
  <c r="I291" i="7"/>
  <c r="H291" i="7"/>
  <c r="I290" i="7"/>
  <c r="H290" i="7"/>
  <c r="I289" i="7"/>
  <c r="H289" i="7"/>
  <c r="I288" i="7"/>
  <c r="H288" i="7"/>
  <c r="I287" i="7"/>
  <c r="H287" i="7"/>
  <c r="I286" i="7"/>
  <c r="H286" i="7"/>
  <c r="I285" i="7"/>
  <c r="H285" i="7"/>
  <c r="I284" i="7"/>
  <c r="H284" i="7"/>
  <c r="I283" i="7"/>
  <c r="H283" i="7"/>
  <c r="I282" i="7"/>
  <c r="H282" i="7"/>
  <c r="I281" i="7"/>
  <c r="H281" i="7"/>
  <c r="I280" i="7"/>
  <c r="H280" i="7"/>
  <c r="I279" i="7"/>
  <c r="H279" i="7"/>
  <c r="I278" i="7"/>
  <c r="H278" i="7"/>
  <c r="H295" i="7" s="1"/>
  <c r="H296" i="7" s="1"/>
  <c r="I276" i="7"/>
  <c r="I275" i="7"/>
  <c r="I274" i="7"/>
  <c r="H274" i="7"/>
  <c r="I273" i="7"/>
  <c r="H273" i="7"/>
  <c r="I272" i="7"/>
  <c r="H272" i="7"/>
  <c r="I271" i="7"/>
  <c r="H271" i="7"/>
  <c r="H275" i="7" s="1"/>
  <c r="H276" i="7" s="1"/>
  <c r="I269" i="7"/>
  <c r="I268" i="7"/>
  <c r="I267" i="7"/>
  <c r="H267" i="7"/>
  <c r="H268" i="7" s="1"/>
  <c r="H269" i="7" s="1"/>
  <c r="I266" i="7"/>
  <c r="H266" i="7"/>
  <c r="I265" i="7"/>
  <c r="H265" i="7"/>
  <c r="I264" i="7"/>
  <c r="H264" i="7"/>
  <c r="I262" i="7"/>
  <c r="I261" i="7"/>
  <c r="I260" i="7"/>
  <c r="H260" i="7"/>
  <c r="I259" i="7"/>
  <c r="H259" i="7"/>
  <c r="H261" i="7" s="1"/>
  <c r="H262" i="7" s="1"/>
  <c r="I257" i="7"/>
  <c r="I256" i="7"/>
  <c r="I255" i="7"/>
  <c r="H255" i="7"/>
  <c r="I254" i="7"/>
  <c r="H254" i="7"/>
  <c r="H256" i="7" s="1"/>
  <c r="H257" i="7" s="1"/>
  <c r="I252" i="7"/>
  <c r="I251" i="7"/>
  <c r="I250" i="7"/>
  <c r="H250" i="7"/>
  <c r="I249" i="7"/>
  <c r="H249" i="7"/>
  <c r="H251" i="7" s="1"/>
  <c r="H252" i="7" s="1"/>
  <c r="I247" i="7"/>
  <c r="I246" i="7"/>
  <c r="I245" i="7"/>
  <c r="H245" i="7"/>
  <c r="I244" i="7"/>
  <c r="H244" i="7"/>
  <c r="H246" i="7" s="1"/>
  <c r="H247" i="7" s="1"/>
  <c r="I242" i="7"/>
  <c r="I241" i="7"/>
  <c r="I240" i="7"/>
  <c r="H240" i="7"/>
  <c r="I239" i="7"/>
  <c r="H239" i="7"/>
  <c r="H241" i="7" s="1"/>
  <c r="H242" i="7" s="1"/>
  <c r="I237" i="7"/>
  <c r="I236" i="7"/>
  <c r="I235" i="7"/>
  <c r="H235" i="7"/>
  <c r="I234" i="7"/>
  <c r="H234" i="7"/>
  <c r="I233" i="7"/>
  <c r="H233" i="7"/>
  <c r="I232" i="7"/>
  <c r="H232" i="7"/>
  <c r="H236" i="7" s="1"/>
  <c r="H237" i="7" s="1"/>
  <c r="I230" i="7"/>
  <c r="I229" i="7"/>
  <c r="I228" i="7"/>
  <c r="H228" i="7"/>
  <c r="H229" i="7" s="1"/>
  <c r="H230" i="7" s="1"/>
  <c r="I227" i="7"/>
  <c r="H227" i="7"/>
  <c r="I226" i="7"/>
  <c r="H226" i="7"/>
  <c r="I225" i="7"/>
  <c r="H225" i="7"/>
  <c r="I223" i="7"/>
  <c r="I222" i="7"/>
  <c r="I221" i="7"/>
  <c r="H221" i="7"/>
  <c r="I220" i="7"/>
  <c r="H220" i="7"/>
  <c r="I219" i="7"/>
  <c r="H219" i="7"/>
  <c r="I218" i="7"/>
  <c r="H218" i="7"/>
  <c r="I217" i="7"/>
  <c r="H217" i="7"/>
  <c r="I216" i="7"/>
  <c r="H216" i="7"/>
  <c r="I215" i="7"/>
  <c r="H215" i="7"/>
  <c r="I214" i="7"/>
  <c r="H214" i="7"/>
  <c r="H222" i="7" s="1"/>
  <c r="H223" i="7" s="1"/>
  <c r="I212" i="7"/>
  <c r="I211" i="7"/>
  <c r="I210" i="7"/>
  <c r="H210" i="7"/>
  <c r="H211" i="7" s="1"/>
  <c r="H212" i="7" s="1"/>
  <c r="I209" i="7"/>
  <c r="H209" i="7"/>
  <c r="I208" i="7"/>
  <c r="H208" i="7"/>
  <c r="I207" i="7"/>
  <c r="H207" i="7"/>
  <c r="I206" i="7"/>
  <c r="H206" i="7"/>
  <c r="I205" i="7"/>
  <c r="H205" i="7"/>
  <c r="I204" i="7"/>
  <c r="H204" i="7"/>
  <c r="I202" i="7"/>
  <c r="I201" i="7"/>
  <c r="I200" i="7"/>
  <c r="H200" i="7"/>
  <c r="I199" i="7"/>
  <c r="H199" i="7"/>
  <c r="I198" i="7"/>
  <c r="H198" i="7"/>
  <c r="I197" i="7"/>
  <c r="H197" i="7"/>
  <c r="I196" i="7"/>
  <c r="H196" i="7"/>
  <c r="I195" i="7"/>
  <c r="H195" i="7"/>
  <c r="I194" i="7"/>
  <c r="H194" i="7"/>
  <c r="I193" i="7"/>
  <c r="H193" i="7"/>
  <c r="I192" i="7"/>
  <c r="H192" i="7"/>
  <c r="I191" i="7"/>
  <c r="H191" i="7"/>
  <c r="I190" i="7"/>
  <c r="H190" i="7"/>
  <c r="I189" i="7"/>
  <c r="H189" i="7"/>
  <c r="I188" i="7"/>
  <c r="H188" i="7"/>
  <c r="I187" i="7"/>
  <c r="H187" i="7"/>
  <c r="I186" i="7"/>
  <c r="H186" i="7"/>
  <c r="I185" i="7"/>
  <c r="H185" i="7"/>
  <c r="H201" i="7" s="1"/>
  <c r="H202" i="7" s="1"/>
  <c r="I184" i="7"/>
  <c r="H184" i="7"/>
  <c r="I183" i="7"/>
  <c r="H183" i="7"/>
  <c r="I182" i="7"/>
  <c r="H182" i="7"/>
  <c r="I181" i="7"/>
  <c r="H181" i="7"/>
  <c r="I180" i="7"/>
  <c r="H180" i="7"/>
  <c r="I178" i="7"/>
  <c r="I177" i="7"/>
  <c r="I176" i="7"/>
  <c r="H176" i="7"/>
  <c r="H177" i="7" s="1"/>
  <c r="I175" i="7"/>
  <c r="I174" i="7"/>
  <c r="H174" i="7"/>
  <c r="I173" i="7"/>
  <c r="H173" i="7"/>
  <c r="H175" i="7" s="1"/>
  <c r="I172" i="7"/>
  <c r="I171" i="7"/>
  <c r="H171" i="7"/>
  <c r="H172" i="7" s="1"/>
  <c r="I170" i="7"/>
  <c r="I169" i="7"/>
  <c r="H169" i="7"/>
  <c r="I168" i="7"/>
  <c r="H168" i="7"/>
  <c r="H170" i="7" s="1"/>
  <c r="I167" i="7"/>
  <c r="H167" i="7"/>
  <c r="I166" i="7"/>
  <c r="H166" i="7"/>
  <c r="I165" i="7"/>
  <c r="I164" i="7"/>
  <c r="H164" i="7"/>
  <c r="H165" i="7" s="1"/>
  <c r="I163" i="7"/>
  <c r="I162" i="7"/>
  <c r="H162" i="7"/>
  <c r="H163" i="7" s="1"/>
  <c r="I161" i="7"/>
  <c r="I160" i="7"/>
  <c r="H160" i="7"/>
  <c r="H161" i="7" s="1"/>
  <c r="I159" i="7"/>
  <c r="H159" i="7"/>
  <c r="I158" i="7"/>
  <c r="H158" i="7"/>
  <c r="I157" i="7"/>
  <c r="I156" i="7"/>
  <c r="H156" i="7"/>
  <c r="I155" i="7"/>
  <c r="H155" i="7"/>
  <c r="H157" i="7" s="1"/>
  <c r="I153" i="7"/>
  <c r="I152" i="7"/>
  <c r="I151" i="7"/>
  <c r="H151" i="7"/>
  <c r="H152" i="7" s="1"/>
  <c r="I150" i="7"/>
  <c r="H150" i="7"/>
  <c r="I149" i="7"/>
  <c r="I148" i="7"/>
  <c r="H148" i="7"/>
  <c r="I147" i="7"/>
  <c r="H147" i="7"/>
  <c r="I146" i="7"/>
  <c r="H146" i="7"/>
  <c r="H149" i="7" s="1"/>
  <c r="I145" i="7"/>
  <c r="I144" i="7"/>
  <c r="H144" i="7"/>
  <c r="H145" i="7" s="1"/>
  <c r="I143" i="7"/>
  <c r="H143" i="7"/>
  <c r="I142" i="7"/>
  <c r="H142" i="7"/>
  <c r="I141" i="7"/>
  <c r="H141" i="7"/>
  <c r="I140" i="7"/>
  <c r="I139" i="7"/>
  <c r="H139" i="7"/>
  <c r="I138" i="7"/>
  <c r="H138" i="7"/>
  <c r="I137" i="7"/>
  <c r="H137" i="7"/>
  <c r="I136" i="7"/>
  <c r="H136" i="7"/>
  <c r="H140" i="7" s="1"/>
  <c r="I134" i="7"/>
  <c r="I133" i="7"/>
  <c r="I132" i="7"/>
  <c r="H132" i="7"/>
  <c r="I131" i="7"/>
  <c r="H131" i="7"/>
  <c r="I130" i="7"/>
  <c r="H130" i="7"/>
  <c r="I129" i="7"/>
  <c r="H129" i="7"/>
  <c r="H133" i="7" s="1"/>
  <c r="I128" i="7"/>
  <c r="I127" i="7"/>
  <c r="H127" i="7"/>
  <c r="I126" i="7"/>
  <c r="H126" i="7"/>
  <c r="H128" i="7" s="1"/>
  <c r="I125" i="7"/>
  <c r="H125" i="7"/>
  <c r="I124" i="7"/>
  <c r="I123" i="7"/>
  <c r="H123" i="7"/>
  <c r="I122" i="7"/>
  <c r="H122" i="7"/>
  <c r="H124" i="7" s="1"/>
  <c r="I121" i="7"/>
  <c r="I120" i="7"/>
  <c r="H120" i="7"/>
  <c r="I119" i="7"/>
  <c r="H119" i="7"/>
  <c r="H121" i="7" s="1"/>
  <c r="I118" i="7"/>
  <c r="H118" i="7"/>
  <c r="I117" i="7"/>
  <c r="H117" i="7"/>
  <c r="I116" i="7"/>
  <c r="H116" i="7"/>
  <c r="I115" i="7"/>
  <c r="H115" i="7"/>
  <c r="I114" i="7"/>
  <c r="H114" i="7"/>
  <c r="I113" i="7"/>
  <c r="I112" i="7"/>
  <c r="H112" i="7"/>
  <c r="I111" i="7"/>
  <c r="H111" i="7"/>
  <c r="I110" i="7"/>
  <c r="H110" i="7"/>
  <c r="I109" i="7"/>
  <c r="H109" i="7"/>
  <c r="I108" i="7"/>
  <c r="H108" i="7"/>
  <c r="I107" i="7"/>
  <c r="H107" i="7"/>
  <c r="I106" i="7"/>
  <c r="H106" i="7"/>
  <c r="I105" i="7"/>
  <c r="H105" i="7"/>
  <c r="H113" i="7" s="1"/>
  <c r="I103" i="7"/>
  <c r="I102" i="7"/>
  <c r="I101" i="7"/>
  <c r="H101" i="7"/>
  <c r="H102" i="7" s="1"/>
  <c r="I100" i="7"/>
  <c r="H100" i="7"/>
  <c r="I99" i="7"/>
  <c r="I98" i="7"/>
  <c r="H98" i="7"/>
  <c r="I97" i="7"/>
  <c r="H97" i="7"/>
  <c r="I96" i="7"/>
  <c r="H96" i="7"/>
  <c r="I95" i="7"/>
  <c r="H95" i="7"/>
  <c r="I94" i="7"/>
  <c r="H94" i="7"/>
  <c r="I93" i="7"/>
  <c r="H93" i="7"/>
  <c r="H99" i="7" s="1"/>
  <c r="I92" i="7"/>
  <c r="I91" i="7"/>
  <c r="H91" i="7"/>
  <c r="I90" i="7"/>
  <c r="H90" i="7"/>
  <c r="I89" i="7"/>
  <c r="H89" i="7"/>
  <c r="I88" i="7"/>
  <c r="H88" i="7"/>
  <c r="I87" i="7"/>
  <c r="H87" i="7"/>
  <c r="I85" i="7"/>
  <c r="I84" i="7"/>
  <c r="H84" i="7"/>
  <c r="H85" i="7" s="1"/>
  <c r="I83" i="7"/>
  <c r="H83" i="7"/>
  <c r="I82" i="7"/>
  <c r="H82" i="7"/>
  <c r="I81" i="7"/>
  <c r="H81" i="7"/>
  <c r="I80" i="7"/>
  <c r="H80" i="7"/>
  <c r="I79" i="7"/>
  <c r="H79" i="7"/>
  <c r="I78" i="7"/>
  <c r="H78" i="7"/>
  <c r="I77" i="7"/>
  <c r="H77" i="7"/>
  <c r="I75" i="7"/>
  <c r="I74" i="7"/>
  <c r="I73" i="7"/>
  <c r="H73" i="7"/>
  <c r="I72" i="7"/>
  <c r="H72" i="7"/>
  <c r="I71" i="7"/>
  <c r="H71" i="7"/>
  <c r="H74" i="7" s="1"/>
  <c r="H75" i="7" s="1"/>
  <c r="I69" i="7"/>
  <c r="I68" i="7"/>
  <c r="I67" i="7"/>
  <c r="H67" i="7"/>
  <c r="I66" i="7"/>
  <c r="H66" i="7"/>
  <c r="H68" i="7" s="1"/>
  <c r="I65" i="7"/>
  <c r="I64" i="7"/>
  <c r="H64" i="7"/>
  <c r="I63" i="7"/>
  <c r="H63" i="7"/>
  <c r="H65" i="7" s="1"/>
  <c r="I62" i="7"/>
  <c r="I61" i="7"/>
  <c r="H61" i="7"/>
  <c r="H62" i="7" s="1"/>
  <c r="I60" i="7"/>
  <c r="I59" i="7"/>
  <c r="H59" i="7"/>
  <c r="I58" i="7"/>
  <c r="H58" i="7"/>
  <c r="I57" i="7"/>
  <c r="H57" i="7"/>
  <c r="I56" i="7"/>
  <c r="H56" i="7"/>
  <c r="I55" i="7"/>
  <c r="H55" i="7"/>
  <c r="I54" i="7"/>
  <c r="H54" i="7"/>
  <c r="I53" i="7"/>
  <c r="H53" i="7"/>
  <c r="I52" i="7"/>
  <c r="H52" i="7"/>
  <c r="I51" i="7"/>
  <c r="H51" i="7"/>
  <c r="H60" i="7" s="1"/>
  <c r="I49" i="7"/>
  <c r="I48" i="7"/>
  <c r="I47" i="7"/>
  <c r="H47" i="7"/>
  <c r="I46" i="7"/>
  <c r="H46" i="7"/>
  <c r="I45" i="7"/>
  <c r="H45" i="7"/>
  <c r="I44" i="7"/>
  <c r="H44" i="7"/>
  <c r="I43" i="7"/>
  <c r="H43" i="7"/>
  <c r="I42" i="7"/>
  <c r="H42" i="7"/>
  <c r="H48" i="7" s="1"/>
  <c r="I41" i="7"/>
  <c r="H41" i="7"/>
  <c r="I40" i="7"/>
  <c r="H40" i="7"/>
  <c r="I39" i="7"/>
  <c r="H39" i="7"/>
  <c r="I38" i="7"/>
  <c r="H38" i="7"/>
  <c r="I37" i="7"/>
  <c r="H37" i="7"/>
  <c r="I36" i="7"/>
  <c r="H36" i="7"/>
  <c r="I35" i="7"/>
  <c r="H35" i="7"/>
  <c r="I34" i="7"/>
  <c r="I33" i="7"/>
  <c r="H33" i="7"/>
  <c r="H34" i="7" s="1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I25" i="7"/>
  <c r="H25" i="7"/>
  <c r="H26" i="7" s="1"/>
  <c r="I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H24" i="7" s="1"/>
  <c r="H49" i="7" s="1"/>
  <c r="I7" i="7"/>
  <c r="H7" i="7"/>
  <c r="I317" i="6"/>
  <c r="I307" i="6"/>
  <c r="I303" i="6"/>
  <c r="I296" i="6"/>
  <c r="I276" i="6"/>
  <c r="I269" i="6"/>
  <c r="I262" i="6"/>
  <c r="I257" i="6"/>
  <c r="I252" i="6"/>
  <c r="I247" i="6"/>
  <c r="I242" i="6"/>
  <c r="I237" i="6"/>
  <c r="I230" i="6"/>
  <c r="I223" i="6"/>
  <c r="I212" i="6"/>
  <c r="I177" i="6"/>
  <c r="I202" i="6"/>
  <c r="I178" i="6"/>
  <c r="I152" i="6"/>
  <c r="I153" i="6"/>
  <c r="I134" i="6"/>
  <c r="I103" i="6"/>
  <c r="I85" i="6"/>
  <c r="I75" i="6"/>
  <c r="I69" i="6"/>
  <c r="I316" i="6"/>
  <c r="I306" i="6"/>
  <c r="I302" i="6"/>
  <c r="I295" i="6"/>
  <c r="I275" i="6"/>
  <c r="I268" i="6"/>
  <c r="I261" i="6"/>
  <c r="I256" i="6"/>
  <c r="I251" i="6"/>
  <c r="I246" i="6"/>
  <c r="I241" i="6"/>
  <c r="I236" i="6"/>
  <c r="I229" i="6"/>
  <c r="I222" i="6"/>
  <c r="I211" i="6"/>
  <c r="I201" i="6"/>
  <c r="I175" i="6"/>
  <c r="I172" i="6"/>
  <c r="I170" i="6"/>
  <c r="I167" i="6"/>
  <c r="I165" i="6"/>
  <c r="I163" i="6"/>
  <c r="I161" i="6"/>
  <c r="I159" i="6"/>
  <c r="I157" i="6"/>
  <c r="I149" i="6"/>
  <c r="I145" i="6"/>
  <c r="I143" i="6"/>
  <c r="I140" i="6"/>
  <c r="I133" i="6"/>
  <c r="I128" i="6"/>
  <c r="I124" i="6"/>
  <c r="I121" i="6"/>
  <c r="I118" i="6"/>
  <c r="I113" i="6"/>
  <c r="I102" i="6"/>
  <c r="I99" i="6"/>
  <c r="I92" i="6"/>
  <c r="I84" i="6"/>
  <c r="I74" i="6"/>
  <c r="I68" i="6"/>
  <c r="I65" i="6"/>
  <c r="I62" i="6"/>
  <c r="I60" i="6"/>
  <c r="I64" i="6"/>
  <c r="H64" i="6"/>
  <c r="I315" i="6"/>
  <c r="H315" i="6"/>
  <c r="I314" i="6"/>
  <c r="H314" i="6"/>
  <c r="I313" i="6"/>
  <c r="H313" i="6"/>
  <c r="I312" i="6"/>
  <c r="H312" i="6"/>
  <c r="I311" i="6"/>
  <c r="H311" i="6"/>
  <c r="I310" i="6"/>
  <c r="H310" i="6"/>
  <c r="I309" i="6"/>
  <c r="H309" i="6"/>
  <c r="I305" i="6"/>
  <c r="H305" i="6"/>
  <c r="H306" i="6" s="1"/>
  <c r="H307" i="6" s="1"/>
  <c r="I301" i="6"/>
  <c r="H301" i="6"/>
  <c r="I300" i="6"/>
  <c r="H300" i="6"/>
  <c r="I299" i="6"/>
  <c r="H299" i="6"/>
  <c r="I298" i="6"/>
  <c r="H298" i="6"/>
  <c r="I294" i="6"/>
  <c r="H294" i="6"/>
  <c r="I293" i="6"/>
  <c r="H293" i="6"/>
  <c r="I292" i="6"/>
  <c r="H292" i="6"/>
  <c r="I291" i="6"/>
  <c r="H291" i="6"/>
  <c r="I290" i="6"/>
  <c r="H290" i="6"/>
  <c r="I289" i="6"/>
  <c r="H289" i="6"/>
  <c r="I288" i="6"/>
  <c r="H288" i="6"/>
  <c r="I287" i="6"/>
  <c r="H287" i="6"/>
  <c r="I286" i="6"/>
  <c r="H286" i="6"/>
  <c r="I285" i="6"/>
  <c r="H285" i="6"/>
  <c r="I284" i="6"/>
  <c r="H284" i="6"/>
  <c r="I283" i="6"/>
  <c r="H283" i="6"/>
  <c r="I282" i="6"/>
  <c r="H282" i="6"/>
  <c r="I281" i="6"/>
  <c r="H281" i="6"/>
  <c r="I280" i="6"/>
  <c r="H280" i="6"/>
  <c r="I279" i="6"/>
  <c r="H279" i="6"/>
  <c r="I278" i="6"/>
  <c r="H278" i="6"/>
  <c r="I274" i="6"/>
  <c r="H274" i="6"/>
  <c r="I273" i="6"/>
  <c r="H273" i="6"/>
  <c r="I272" i="6"/>
  <c r="H272" i="6"/>
  <c r="I271" i="6"/>
  <c r="H271" i="6"/>
  <c r="I267" i="6"/>
  <c r="H267" i="6"/>
  <c r="I266" i="6"/>
  <c r="H266" i="6"/>
  <c r="I265" i="6"/>
  <c r="H265" i="6"/>
  <c r="I264" i="6"/>
  <c r="H264" i="6"/>
  <c r="I260" i="6"/>
  <c r="H260" i="6"/>
  <c r="I259" i="6"/>
  <c r="H259" i="6"/>
  <c r="I255" i="6"/>
  <c r="H255" i="6"/>
  <c r="I254" i="6"/>
  <c r="H254" i="6"/>
  <c r="I250" i="6"/>
  <c r="H250" i="6"/>
  <c r="I249" i="6"/>
  <c r="H249" i="6"/>
  <c r="I245" i="6"/>
  <c r="H245" i="6"/>
  <c r="I244" i="6"/>
  <c r="H244" i="6"/>
  <c r="I240" i="6"/>
  <c r="H240" i="6"/>
  <c r="I239" i="6"/>
  <c r="H239" i="6"/>
  <c r="I235" i="6"/>
  <c r="H235" i="6"/>
  <c r="I234" i="6"/>
  <c r="H234" i="6"/>
  <c r="I233" i="6"/>
  <c r="H233" i="6"/>
  <c r="I232" i="6"/>
  <c r="H232" i="6"/>
  <c r="I228" i="6"/>
  <c r="H228" i="6"/>
  <c r="I227" i="6"/>
  <c r="H227" i="6"/>
  <c r="I226" i="6"/>
  <c r="H226" i="6"/>
  <c r="I225" i="6"/>
  <c r="H225" i="6"/>
  <c r="I221" i="6"/>
  <c r="H221" i="6"/>
  <c r="I220" i="6"/>
  <c r="H220" i="6"/>
  <c r="I219" i="6"/>
  <c r="H219" i="6"/>
  <c r="I218" i="6"/>
  <c r="H218" i="6"/>
  <c r="I217" i="6"/>
  <c r="H217" i="6"/>
  <c r="I216" i="6"/>
  <c r="H216" i="6"/>
  <c r="I215" i="6"/>
  <c r="H215" i="6"/>
  <c r="I214" i="6"/>
  <c r="H214" i="6"/>
  <c r="I210" i="6"/>
  <c r="H210" i="6"/>
  <c r="I209" i="6"/>
  <c r="H209" i="6"/>
  <c r="I208" i="6"/>
  <c r="H208" i="6"/>
  <c r="I207" i="6"/>
  <c r="H207" i="6"/>
  <c r="I206" i="6"/>
  <c r="H206" i="6"/>
  <c r="I205" i="6"/>
  <c r="H205" i="6"/>
  <c r="I204" i="6"/>
  <c r="H204" i="6"/>
  <c r="I200" i="6"/>
  <c r="H200" i="6"/>
  <c r="I199" i="6"/>
  <c r="H199" i="6"/>
  <c r="I198" i="6"/>
  <c r="H198" i="6"/>
  <c r="I197" i="6"/>
  <c r="H197" i="6"/>
  <c r="I196" i="6"/>
  <c r="H196" i="6"/>
  <c r="I195" i="6"/>
  <c r="H195" i="6"/>
  <c r="I194" i="6"/>
  <c r="H194" i="6"/>
  <c r="I193" i="6"/>
  <c r="H193" i="6"/>
  <c r="I192" i="6"/>
  <c r="H192" i="6"/>
  <c r="I191" i="6"/>
  <c r="H191" i="6"/>
  <c r="I190" i="6"/>
  <c r="H190" i="6"/>
  <c r="I189" i="6"/>
  <c r="H189" i="6"/>
  <c r="I188" i="6"/>
  <c r="H188" i="6"/>
  <c r="I187" i="6"/>
  <c r="H187" i="6"/>
  <c r="I186" i="6"/>
  <c r="H186" i="6"/>
  <c r="I185" i="6"/>
  <c r="H185" i="6"/>
  <c r="I184" i="6"/>
  <c r="H184" i="6"/>
  <c r="I183" i="6"/>
  <c r="H183" i="6"/>
  <c r="I182" i="6"/>
  <c r="H182" i="6"/>
  <c r="I181" i="6"/>
  <c r="H181" i="6"/>
  <c r="I180" i="6"/>
  <c r="H180" i="6"/>
  <c r="I176" i="6"/>
  <c r="H176" i="6"/>
  <c r="H177" i="6"/>
  <c r="I174" i="6"/>
  <c r="H174" i="6"/>
  <c r="H175" i="6" s="1"/>
  <c r="I173" i="6"/>
  <c r="H173" i="6"/>
  <c r="I171" i="6"/>
  <c r="H171" i="6"/>
  <c r="H172" i="6" s="1"/>
  <c r="I169" i="6"/>
  <c r="H169" i="6"/>
  <c r="I168" i="6"/>
  <c r="H168" i="6"/>
  <c r="H170" i="6" s="1"/>
  <c r="I166" i="6"/>
  <c r="H166" i="6"/>
  <c r="H167" i="6" s="1"/>
  <c r="I164" i="6"/>
  <c r="H164" i="6"/>
  <c r="H165" i="6" s="1"/>
  <c r="I162" i="6"/>
  <c r="H162" i="6"/>
  <c r="H163" i="6"/>
  <c r="I160" i="6"/>
  <c r="H160" i="6"/>
  <c r="H161" i="6" s="1"/>
  <c r="I158" i="6"/>
  <c r="H158" i="6"/>
  <c r="H159" i="6" s="1"/>
  <c r="I156" i="6"/>
  <c r="H156" i="6"/>
  <c r="I155" i="6"/>
  <c r="H155" i="6"/>
  <c r="H157" i="6" s="1"/>
  <c r="I151" i="6"/>
  <c r="H151" i="6"/>
  <c r="I150" i="6"/>
  <c r="H150" i="6"/>
  <c r="I148" i="6"/>
  <c r="H148" i="6"/>
  <c r="I147" i="6"/>
  <c r="H147" i="6"/>
  <c r="I146" i="6"/>
  <c r="H146" i="6"/>
  <c r="I144" i="6"/>
  <c r="H144" i="6"/>
  <c r="H145" i="6" s="1"/>
  <c r="I142" i="6"/>
  <c r="H142" i="6"/>
  <c r="I141" i="6"/>
  <c r="H141" i="6"/>
  <c r="H143" i="6" s="1"/>
  <c r="I139" i="6"/>
  <c r="H139" i="6"/>
  <c r="I138" i="6"/>
  <c r="H138" i="6"/>
  <c r="I137" i="6"/>
  <c r="H137" i="6"/>
  <c r="I136" i="6"/>
  <c r="H136" i="6"/>
  <c r="I132" i="6"/>
  <c r="H132" i="6"/>
  <c r="I131" i="6"/>
  <c r="H131" i="6"/>
  <c r="I130" i="6"/>
  <c r="H130" i="6"/>
  <c r="I129" i="6"/>
  <c r="H129" i="6"/>
  <c r="I127" i="6"/>
  <c r="H127" i="6"/>
  <c r="I126" i="6"/>
  <c r="H126" i="6"/>
  <c r="I125" i="6"/>
  <c r="H125" i="6"/>
  <c r="I123" i="6"/>
  <c r="H123" i="6"/>
  <c r="I122" i="6"/>
  <c r="H122" i="6"/>
  <c r="I120" i="6"/>
  <c r="H120" i="6"/>
  <c r="I119" i="6"/>
  <c r="H119" i="6"/>
  <c r="I117" i="6"/>
  <c r="H117" i="6"/>
  <c r="I116" i="6"/>
  <c r="H116" i="6"/>
  <c r="I115" i="6"/>
  <c r="H115" i="6"/>
  <c r="I114" i="6"/>
  <c r="H114" i="6"/>
  <c r="I112" i="6"/>
  <c r="H112" i="6"/>
  <c r="I111" i="6"/>
  <c r="H111" i="6"/>
  <c r="I110" i="6"/>
  <c r="H110" i="6"/>
  <c r="I109" i="6"/>
  <c r="H109" i="6"/>
  <c r="I108" i="6"/>
  <c r="H108" i="6"/>
  <c r="I107" i="6"/>
  <c r="H107" i="6"/>
  <c r="I106" i="6"/>
  <c r="H106" i="6"/>
  <c r="I105" i="6"/>
  <c r="H105" i="6"/>
  <c r="I101" i="6"/>
  <c r="H101" i="6"/>
  <c r="I100" i="6"/>
  <c r="H100" i="6"/>
  <c r="I98" i="6"/>
  <c r="H98" i="6"/>
  <c r="I97" i="6"/>
  <c r="H97" i="6"/>
  <c r="I96" i="6"/>
  <c r="H96" i="6"/>
  <c r="I95" i="6"/>
  <c r="H95" i="6"/>
  <c r="I94" i="6"/>
  <c r="H94" i="6"/>
  <c r="I93" i="6"/>
  <c r="H93" i="6"/>
  <c r="I91" i="6"/>
  <c r="H91" i="6"/>
  <c r="I90" i="6"/>
  <c r="H90" i="6"/>
  <c r="I89" i="6"/>
  <c r="H89" i="6"/>
  <c r="I88" i="6"/>
  <c r="H88" i="6"/>
  <c r="I87" i="6"/>
  <c r="H87" i="6"/>
  <c r="I83" i="6"/>
  <c r="H83" i="6"/>
  <c r="I82" i="6"/>
  <c r="H82" i="6"/>
  <c r="I81" i="6"/>
  <c r="H81" i="6"/>
  <c r="I80" i="6"/>
  <c r="H80" i="6"/>
  <c r="I79" i="6"/>
  <c r="H79" i="6"/>
  <c r="I78" i="6"/>
  <c r="H78" i="6"/>
  <c r="I77" i="6"/>
  <c r="H77" i="6"/>
  <c r="I73" i="6"/>
  <c r="H73" i="6"/>
  <c r="I72" i="6"/>
  <c r="H72" i="6"/>
  <c r="I71" i="6"/>
  <c r="H71" i="6"/>
  <c r="I67" i="6"/>
  <c r="H67" i="6"/>
  <c r="I66" i="6"/>
  <c r="H66" i="6"/>
  <c r="I63" i="6"/>
  <c r="H63" i="6"/>
  <c r="I61" i="6"/>
  <c r="H61" i="6"/>
  <c r="H62" i="6" s="1"/>
  <c r="I59" i="6"/>
  <c r="H59" i="6"/>
  <c r="I58" i="6"/>
  <c r="H58" i="6"/>
  <c r="I57" i="6"/>
  <c r="H57" i="6"/>
  <c r="I56" i="6"/>
  <c r="H56" i="6"/>
  <c r="I55" i="6"/>
  <c r="H55" i="6"/>
  <c r="I54" i="6"/>
  <c r="H54" i="6"/>
  <c r="I53" i="6"/>
  <c r="H53" i="6"/>
  <c r="I52" i="6"/>
  <c r="H52" i="6"/>
  <c r="I51" i="6"/>
  <c r="H51" i="6"/>
  <c r="I49" i="6"/>
  <c r="I48" i="6"/>
  <c r="I47" i="6"/>
  <c r="H47" i="6"/>
  <c r="I46" i="6"/>
  <c r="H46" i="6"/>
  <c r="I45" i="6"/>
  <c r="H45" i="6"/>
  <c r="I44" i="6"/>
  <c r="H44" i="6"/>
  <c r="I43" i="6"/>
  <c r="H43" i="6"/>
  <c r="I42" i="6"/>
  <c r="H42" i="6"/>
  <c r="I41" i="6"/>
  <c r="I40" i="6"/>
  <c r="H40" i="6"/>
  <c r="I39" i="6"/>
  <c r="H39" i="6"/>
  <c r="I38" i="6"/>
  <c r="H38" i="6"/>
  <c r="I37" i="6"/>
  <c r="H37" i="6"/>
  <c r="I36" i="6"/>
  <c r="H36" i="6"/>
  <c r="I35" i="6"/>
  <c r="H35" i="6"/>
  <c r="I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I25" i="6"/>
  <c r="H25" i="6"/>
  <c r="H26" i="6" s="1"/>
  <c r="I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J49" i="5"/>
  <c r="J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J25" i="5"/>
  <c r="I25" i="5"/>
  <c r="I26" i="5" s="1"/>
  <c r="J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49" i="3"/>
  <c r="J48" i="3"/>
  <c r="J43" i="3"/>
  <c r="J44" i="3"/>
  <c r="J45" i="3"/>
  <c r="J46" i="3"/>
  <c r="J47" i="3"/>
  <c r="J42" i="3"/>
  <c r="J41" i="3"/>
  <c r="J36" i="3"/>
  <c r="J37" i="3"/>
  <c r="J38" i="3"/>
  <c r="J39" i="3"/>
  <c r="J40" i="3"/>
  <c r="J35" i="3"/>
  <c r="I43" i="3"/>
  <c r="I44" i="3"/>
  <c r="I45" i="3"/>
  <c r="I46" i="3"/>
  <c r="I47" i="3"/>
  <c r="I42" i="3"/>
  <c r="I36" i="3"/>
  <c r="I37" i="3"/>
  <c r="I38" i="3"/>
  <c r="I39" i="3"/>
  <c r="I40" i="3"/>
  <c r="I35" i="3"/>
  <c r="J34" i="3"/>
  <c r="J26" i="3"/>
  <c r="J28" i="3"/>
  <c r="J29" i="3"/>
  <c r="J30" i="3"/>
  <c r="J31" i="3"/>
  <c r="J32" i="3"/>
  <c r="J33" i="3"/>
  <c r="J27" i="3"/>
  <c r="J25" i="3"/>
  <c r="I28" i="3"/>
  <c r="I29" i="3"/>
  <c r="I30" i="3"/>
  <c r="I31" i="3"/>
  <c r="I32" i="3"/>
  <c r="I33" i="3"/>
  <c r="I27" i="3"/>
  <c r="I25" i="3"/>
  <c r="I26" i="3" s="1"/>
  <c r="J24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7" i="3"/>
  <c r="I7" i="3"/>
  <c r="E5" i="1"/>
  <c r="F16" i="1"/>
  <c r="I16" i="1" s="1"/>
  <c r="G162" i="11" l="1"/>
  <c r="G187" i="11"/>
  <c r="H46" i="11"/>
  <c r="K208" i="11"/>
  <c r="G166" i="11"/>
  <c r="H166" i="11" s="1"/>
  <c r="G195" i="11"/>
  <c r="H195" i="11" s="1"/>
  <c r="G294" i="11"/>
  <c r="G295" i="11" s="1"/>
  <c r="H295" i="11" s="1"/>
  <c r="H146" i="11"/>
  <c r="K289" i="11"/>
  <c r="K290" i="11" s="1"/>
  <c r="G86" i="11"/>
  <c r="H86" i="11" s="1"/>
  <c r="H65" i="11"/>
  <c r="H332" i="11"/>
  <c r="G299" i="11"/>
  <c r="G300" i="11" s="1"/>
  <c r="H300" i="11" s="1"/>
  <c r="G137" i="11"/>
  <c r="H137" i="11" s="1"/>
  <c r="G178" i="11"/>
  <c r="H178" i="11" s="1"/>
  <c r="H244" i="11"/>
  <c r="K306" i="11"/>
  <c r="K307" i="11" s="1"/>
  <c r="K146" i="11"/>
  <c r="G208" i="11"/>
  <c r="H208" i="11" s="1"/>
  <c r="G213" i="11"/>
  <c r="H213" i="11" s="1"/>
  <c r="G190" i="11"/>
  <c r="H190" i="11" s="1"/>
  <c r="G100" i="11"/>
  <c r="H100" i="11" s="1"/>
  <c r="H344" i="11"/>
  <c r="K160" i="11"/>
  <c r="K162" i="11" s="1"/>
  <c r="G284" i="11"/>
  <c r="G285" i="11" s="1"/>
  <c r="H285" i="11" s="1"/>
  <c r="H25" i="11"/>
  <c r="H56" i="11"/>
  <c r="H70" i="11"/>
  <c r="G103" i="11"/>
  <c r="H103" i="11" s="1"/>
  <c r="K343" i="11"/>
  <c r="K344" i="11" s="1"/>
  <c r="K345" i="11" s="1"/>
  <c r="H71" i="11"/>
  <c r="H85" i="11"/>
  <c r="H273" i="11"/>
  <c r="G64" i="11"/>
  <c r="H64" i="11" s="1"/>
  <c r="H218" i="11"/>
  <c r="H41" i="11"/>
  <c r="H263" i="11"/>
  <c r="G267" i="11"/>
  <c r="G268" i="11" s="1"/>
  <c r="H268" i="11" s="1"/>
  <c r="K106" i="11"/>
  <c r="G159" i="11"/>
  <c r="H159" i="11" s="1"/>
  <c r="H201" i="11"/>
  <c r="G279" i="11"/>
  <c r="G280" i="11" s="1"/>
  <c r="H280" i="11" s="1"/>
  <c r="H189" i="11"/>
  <c r="G249" i="11"/>
  <c r="G250" i="11" s="1"/>
  <c r="H250" i="11" s="1"/>
  <c r="H138" i="11"/>
  <c r="H200" i="11"/>
  <c r="K71" i="11"/>
  <c r="G79" i="11"/>
  <c r="H79" i="11" s="1"/>
  <c r="H316" i="11"/>
  <c r="H9" i="11"/>
  <c r="K41" i="11"/>
  <c r="H105" i="11"/>
  <c r="H132" i="11"/>
  <c r="H165" i="11"/>
  <c r="G183" i="11"/>
  <c r="H183" i="11" s="1"/>
  <c r="H202" i="11"/>
  <c r="K244" i="11"/>
  <c r="H277" i="11"/>
  <c r="H27" i="11"/>
  <c r="H66" i="11"/>
  <c r="H74" i="11"/>
  <c r="G151" i="11"/>
  <c r="H151" i="11" s="1"/>
  <c r="H149" i="11"/>
  <c r="H184" i="11"/>
  <c r="H317" i="11"/>
  <c r="H10" i="11"/>
  <c r="H53" i="11"/>
  <c r="H91" i="11"/>
  <c r="H99" i="11"/>
  <c r="H143" i="11"/>
  <c r="H158" i="11"/>
  <c r="K184" i="11"/>
  <c r="K187" i="11" s="1"/>
  <c r="K204" i="11"/>
  <c r="K205" i="11" s="1"/>
  <c r="H211" i="11"/>
  <c r="H236" i="11"/>
  <c r="H256" i="11"/>
  <c r="H292" i="11"/>
  <c r="H305" i="11"/>
  <c r="H232" i="11"/>
  <c r="H302" i="11"/>
  <c r="H331" i="11"/>
  <c r="G98" i="11"/>
  <c r="H98" i="11" s="1"/>
  <c r="H174" i="11"/>
  <c r="H147" i="11"/>
  <c r="G306" i="11"/>
  <c r="G307" i="11" s="1"/>
  <c r="H307" i="11" s="1"/>
  <c r="K65" i="11"/>
  <c r="H80" i="11"/>
  <c r="H115" i="11"/>
  <c r="G140" i="11"/>
  <c r="H140" i="11" s="1"/>
  <c r="H182" i="11"/>
  <c r="H73" i="11"/>
  <c r="H97" i="11"/>
  <c r="H148" i="11"/>
  <c r="H255" i="11"/>
  <c r="H35" i="11"/>
  <c r="H59" i="11"/>
  <c r="H90" i="11"/>
  <c r="K193" i="11"/>
  <c r="K195" i="11" s="1"/>
  <c r="H203" i="11"/>
  <c r="H235" i="11"/>
  <c r="H265" i="11"/>
  <c r="K277" i="11"/>
  <c r="K279" i="11" s="1"/>
  <c r="K280" i="11" s="1"/>
  <c r="G106" i="11"/>
  <c r="H106" i="11" s="1"/>
  <c r="H126" i="11"/>
  <c r="H133" i="11"/>
  <c r="H176" i="11"/>
  <c r="H245" i="11"/>
  <c r="H60" i="11"/>
  <c r="H67" i="11"/>
  <c r="H75" i="11"/>
  <c r="H82" i="11"/>
  <c r="H117" i="11"/>
  <c r="K143" i="11"/>
  <c r="H150" i="11"/>
  <c r="G171" i="11"/>
  <c r="H171" i="11" s="1"/>
  <c r="G274" i="11"/>
  <c r="H163" i="11"/>
  <c r="H78" i="11"/>
  <c r="H104" i="11"/>
  <c r="H121" i="11"/>
  <c r="K122" i="11"/>
  <c r="K123" i="11" s="1"/>
  <c r="K209" i="11"/>
  <c r="K210" i="11" s="1"/>
  <c r="H303" i="11"/>
  <c r="G122" i="11"/>
  <c r="H175" i="11"/>
  <c r="K332" i="11"/>
  <c r="K333" i="11" s="1"/>
  <c r="K334" i="11" s="1"/>
  <c r="H109" i="11"/>
  <c r="H134" i="11"/>
  <c r="H177" i="11"/>
  <c r="K196" i="11"/>
  <c r="K197" i="11" s="1"/>
  <c r="K274" i="11"/>
  <c r="K275" i="11" s="1"/>
  <c r="H61" i="11"/>
  <c r="H76" i="11"/>
  <c r="H83" i="11"/>
  <c r="H118" i="11"/>
  <c r="H152" i="11"/>
  <c r="H169" i="11"/>
  <c r="H186" i="11"/>
  <c r="H197" i="11"/>
  <c r="H206" i="11"/>
  <c r="K140" i="11"/>
  <c r="H322" i="11"/>
  <c r="H34" i="11"/>
  <c r="H89" i="11"/>
  <c r="H131" i="11"/>
  <c r="H164" i="11"/>
  <c r="H226" i="11"/>
  <c r="H323" i="11"/>
  <c r="H51" i="11"/>
  <c r="H157" i="11"/>
  <c r="H81" i="11"/>
  <c r="H160" i="11"/>
  <c r="H257" i="11"/>
  <c r="H11" i="11"/>
  <c r="H47" i="11"/>
  <c r="G156" i="11"/>
  <c r="H156" i="11" s="1"/>
  <c r="H223" i="11"/>
  <c r="H12" i="11"/>
  <c r="H48" i="11"/>
  <c r="H55" i="11"/>
  <c r="H69" i="11"/>
  <c r="H101" i="11"/>
  <c r="H110" i="11"/>
  <c r="H145" i="11"/>
  <c r="H161" i="11"/>
  <c r="G181" i="11"/>
  <c r="H181" i="11" s="1"/>
  <c r="K190" i="11"/>
  <c r="H230" i="11"/>
  <c r="H238" i="11"/>
  <c r="H247" i="11"/>
  <c r="K283" i="11"/>
  <c r="K284" i="11" s="1"/>
  <c r="K285" i="11" s="1"/>
  <c r="K297" i="11"/>
  <c r="K299" i="11" s="1"/>
  <c r="K300" i="11" s="1"/>
  <c r="H310" i="11"/>
  <c r="H320" i="11"/>
  <c r="H33" i="11"/>
  <c r="H180" i="11"/>
  <c r="H225" i="11"/>
  <c r="H50" i="11"/>
  <c r="G239" i="11"/>
  <c r="G240" i="11" s="1"/>
  <c r="H240" i="11" s="1"/>
  <c r="K174" i="11"/>
  <c r="K178" i="11" s="1"/>
  <c r="H254" i="11"/>
  <c r="K218" i="11"/>
  <c r="K239" i="11" s="1"/>
  <c r="K240" i="11" s="1"/>
  <c r="K157" i="11"/>
  <c r="K159" i="11" s="1"/>
  <c r="H127" i="11"/>
  <c r="H168" i="11"/>
  <c r="H185" i="11"/>
  <c r="H229" i="11"/>
  <c r="H246" i="11"/>
  <c r="H270" i="11"/>
  <c r="H282" i="11"/>
  <c r="H293" i="11"/>
  <c r="H54" i="11"/>
  <c r="H84" i="11"/>
  <c r="G130" i="11"/>
  <c r="H130" i="11" s="1"/>
  <c r="H136" i="11"/>
  <c r="H153" i="11"/>
  <c r="H179" i="11"/>
  <c r="H188" i="11"/>
  <c r="H198" i="11"/>
  <c r="H214" i="11"/>
  <c r="H224" i="11"/>
  <c r="H272" i="11"/>
  <c r="H330" i="11"/>
  <c r="K112" i="11"/>
  <c r="K113" i="11" s="1"/>
  <c r="H287" i="11"/>
  <c r="H155" i="11"/>
  <c r="H57" i="11"/>
  <c r="H96" i="11"/>
  <c r="H209" i="11"/>
  <c r="H264" i="11"/>
  <c r="G289" i="11"/>
  <c r="K89" i="11"/>
  <c r="K98" i="11" s="1"/>
  <c r="K264" i="11"/>
  <c r="K267" i="11" s="1"/>
  <c r="K268" i="11" s="1"/>
  <c r="K130" i="11"/>
  <c r="H193" i="11"/>
  <c r="H116" i="11"/>
  <c r="H92" i="11"/>
  <c r="H237" i="11"/>
  <c r="G313" i="11"/>
  <c r="G314" i="11" s="1"/>
  <c r="H314" i="11" s="1"/>
  <c r="H68" i="11"/>
  <c r="K212" i="11"/>
  <c r="K213" i="11" s="1"/>
  <c r="K309" i="11"/>
  <c r="K313" i="11" s="1"/>
  <c r="K314" i="11" s="1"/>
  <c r="H49" i="11"/>
  <c r="H63" i="11"/>
  <c r="H77" i="11"/>
  <c r="H94" i="11"/>
  <c r="H102" i="11"/>
  <c r="G112" i="11"/>
  <c r="H120" i="11"/>
  <c r="H129" i="11"/>
  <c r="H162" i="11"/>
  <c r="K179" i="11"/>
  <c r="K181" i="11" s="1"/>
  <c r="G199" i="11"/>
  <c r="H199" i="11" s="1"/>
  <c r="G215" i="11"/>
  <c r="H215" i="11" s="1"/>
  <c r="H231" i="11"/>
  <c r="G260" i="11"/>
  <c r="G261" i="11" s="1"/>
  <c r="H261" i="11" s="1"/>
  <c r="H311" i="11"/>
  <c r="H343" i="11"/>
  <c r="H233" i="11"/>
  <c r="H242" i="11"/>
  <c r="H248" i="11"/>
  <c r="H45" i="11"/>
  <c r="H58" i="11"/>
  <c r="H119" i="11"/>
  <c r="H128" i="11"/>
  <c r="H144" i="11"/>
  <c r="H194" i="11"/>
  <c r="H219" i="11"/>
  <c r="H259" i="11"/>
  <c r="H271" i="11"/>
  <c r="H309" i="11"/>
  <c r="H52" i="11"/>
  <c r="H95" i="11"/>
  <c r="H111" i="11"/>
  <c r="H135" i="11"/>
  <c r="H204" i="11"/>
  <c r="H227" i="11"/>
  <c r="H234" i="11"/>
  <c r="H243" i="11"/>
  <c r="H297" i="11"/>
  <c r="H319" i="11"/>
  <c r="H327" i="11"/>
  <c r="H93" i="11"/>
  <c r="H125" i="11"/>
  <c r="H139" i="11"/>
  <c r="H154" i="11"/>
  <c r="H170" i="11"/>
  <c r="H187" i="11"/>
  <c r="H196" i="11"/>
  <c r="H253" i="11"/>
  <c r="H283" i="11"/>
  <c r="H326" i="11"/>
  <c r="H205" i="11"/>
  <c r="H220" i="11"/>
  <c r="H258" i="11"/>
  <c r="H278" i="11"/>
  <c r="H312" i="11"/>
  <c r="H328" i="11"/>
  <c r="H336" i="11"/>
  <c r="H212" i="11"/>
  <c r="H221" i="11"/>
  <c r="H321" i="11"/>
  <c r="H329" i="11"/>
  <c r="H337" i="11"/>
  <c r="H304" i="11"/>
  <c r="H338" i="11"/>
  <c r="H339" i="11"/>
  <c r="H266" i="11"/>
  <c r="H288" i="11"/>
  <c r="H298" i="11"/>
  <c r="H325" i="11"/>
  <c r="H62" i="11"/>
  <c r="H167" i="11"/>
  <c r="H207" i="11"/>
  <c r="H222" i="11"/>
  <c r="H228" i="11"/>
  <c r="H252" i="11"/>
  <c r="H318" i="11"/>
  <c r="H324" i="11"/>
  <c r="K260" i="11"/>
  <c r="K261" i="11" s="1"/>
  <c r="K340" i="11"/>
  <c r="K341" i="11" s="1"/>
  <c r="K62" i="11"/>
  <c r="G72" i="11"/>
  <c r="H72" i="11" s="1"/>
  <c r="K152" i="11"/>
  <c r="K156" i="11" s="1"/>
  <c r="K168" i="11"/>
  <c r="K171" i="11" s="1"/>
  <c r="K202" i="11"/>
  <c r="K203" i="11" s="1"/>
  <c r="G333" i="11"/>
  <c r="G334" i="11" s="1"/>
  <c r="H334" i="11" s="1"/>
  <c r="K163" i="11"/>
  <c r="K166" i="11" s="1"/>
  <c r="K73" i="11"/>
  <c r="K79" i="11" s="1"/>
  <c r="K242" i="11"/>
  <c r="G340" i="11"/>
  <c r="G341" i="11" s="1"/>
  <c r="H341" i="11" s="1"/>
  <c r="K101" i="11"/>
  <c r="K103" i="11" s="1"/>
  <c r="K292" i="11"/>
  <c r="K294" i="11" s="1"/>
  <c r="K295" i="11" s="1"/>
  <c r="K131" i="11"/>
  <c r="K137" i="11" s="1"/>
  <c r="K80" i="11"/>
  <c r="K86" i="11" s="1"/>
  <c r="K200" i="11"/>
  <c r="K201" i="11" s="1"/>
  <c r="H210" i="10"/>
  <c r="L204" i="10"/>
  <c r="L205" i="10" s="1"/>
  <c r="H301" i="10"/>
  <c r="H302" i="10" s="1"/>
  <c r="H192" i="10"/>
  <c r="L211" i="10"/>
  <c r="L212" i="10" s="1"/>
  <c r="H105" i="10"/>
  <c r="H286" i="10"/>
  <c r="H287" i="10" s="1"/>
  <c r="H296" i="10"/>
  <c r="H297" i="10" s="1"/>
  <c r="L291" i="10"/>
  <c r="L292" i="10" s="1"/>
  <c r="H64" i="10"/>
  <c r="H142" i="10"/>
  <c r="H161" i="10"/>
  <c r="L161" i="10"/>
  <c r="H153" i="10"/>
  <c r="L299" i="10"/>
  <c r="L301" i="10" s="1"/>
  <c r="L302" i="10" s="1"/>
  <c r="H342" i="10"/>
  <c r="H343" i="10" s="1"/>
  <c r="H132" i="10"/>
  <c r="H281" i="10"/>
  <c r="H282" i="10" s="1"/>
  <c r="H74" i="10"/>
  <c r="H164" i="10"/>
  <c r="L183" i="10"/>
  <c r="H251" i="10"/>
  <c r="H252" i="10" s="1"/>
  <c r="H168" i="10"/>
  <c r="L296" i="10"/>
  <c r="L297" i="10" s="1"/>
  <c r="L356" i="10"/>
  <c r="L357" i="10" s="1"/>
  <c r="H81" i="10"/>
  <c r="L103" i="10"/>
  <c r="L105" i="10" s="1"/>
  <c r="H215" i="10"/>
  <c r="L145" i="10"/>
  <c r="L153" i="10" s="1"/>
  <c r="H207" i="10"/>
  <c r="H262" i="10"/>
  <c r="H263" i="10" s="1"/>
  <c r="L345" i="10"/>
  <c r="L346" i="10" s="1"/>
  <c r="L347" i="10" s="1"/>
  <c r="L128" i="10"/>
  <c r="L132" i="10" s="1"/>
  <c r="H88" i="10"/>
  <c r="H114" i="10"/>
  <c r="H115" i="10" s="1"/>
  <c r="L279" i="10"/>
  <c r="L281" i="10" s="1"/>
  <c r="L282" i="10" s="1"/>
  <c r="H308" i="10"/>
  <c r="H309" i="10" s="1"/>
  <c r="H335" i="10"/>
  <c r="H336" i="10" s="1"/>
  <c r="H291" i="10"/>
  <c r="H292" i="10" s="1"/>
  <c r="H276" i="10"/>
  <c r="H277" i="10" s="1"/>
  <c r="H183" i="10"/>
  <c r="H241" i="10"/>
  <c r="H242" i="10" s="1"/>
  <c r="L318" i="10"/>
  <c r="L335" i="10" s="1"/>
  <c r="L336" i="10" s="1"/>
  <c r="H108" i="10"/>
  <c r="L202" i="10"/>
  <c r="L203" i="10" s="1"/>
  <c r="H315" i="10"/>
  <c r="H316" i="10" s="1"/>
  <c r="L67" i="10"/>
  <c r="L74" i="10" s="1"/>
  <c r="H180" i="10"/>
  <c r="H173" i="10"/>
  <c r="H356" i="10"/>
  <c r="H357" i="10" s="1"/>
  <c r="L100" i="10"/>
  <c r="H124" i="10"/>
  <c r="H125" i="10" s="1"/>
  <c r="L158" i="10"/>
  <c r="L180" i="10"/>
  <c r="H158" i="10"/>
  <c r="H269" i="10"/>
  <c r="H270" i="10" s="1"/>
  <c r="H197" i="10"/>
  <c r="H139" i="10"/>
  <c r="L164" i="10"/>
  <c r="H189" i="10"/>
  <c r="H100" i="10"/>
  <c r="L195" i="10"/>
  <c r="L197" i="10" s="1"/>
  <c r="L81" i="10"/>
  <c r="L342" i="10"/>
  <c r="L343" i="10" s="1"/>
  <c r="L124" i="10"/>
  <c r="L125" i="10" s="1"/>
  <c r="L141" i="10"/>
  <c r="L142" i="10" s="1"/>
  <c r="L191" i="10"/>
  <c r="L192" i="10" s="1"/>
  <c r="L208" i="10"/>
  <c r="L210" i="10" s="1"/>
  <c r="L225" i="10"/>
  <c r="L241" i="10" s="1"/>
  <c r="L242" i="10" s="1"/>
  <c r="L101" i="10"/>
  <c r="L102" i="10" s="1"/>
  <c r="L169" i="10"/>
  <c r="L173" i="10" s="1"/>
  <c r="L186" i="10"/>
  <c r="L189" i="10" s="1"/>
  <c r="L254" i="10"/>
  <c r="L262" i="10" s="1"/>
  <c r="L263" i="10" s="1"/>
  <c r="L272" i="10"/>
  <c r="L276" i="10" s="1"/>
  <c r="L277" i="10" s="1"/>
  <c r="L311" i="10"/>
  <c r="L315" i="10" s="1"/>
  <c r="L316" i="10" s="1"/>
  <c r="L47" i="10"/>
  <c r="L64" i="10" s="1"/>
  <c r="L113" i="10"/>
  <c r="L114" i="10" s="1"/>
  <c r="L115" i="10" s="1"/>
  <c r="L198" i="10"/>
  <c r="L199" i="10" s="1"/>
  <c r="L214" i="10"/>
  <c r="L215" i="10" s="1"/>
  <c r="L285" i="10"/>
  <c r="L286" i="10" s="1"/>
  <c r="L287" i="10" s="1"/>
  <c r="L106" i="10"/>
  <c r="L108" i="10" s="1"/>
  <c r="L165" i="10"/>
  <c r="L168" i="10" s="1"/>
  <c r="L65" i="10"/>
  <c r="L66" i="10" s="1"/>
  <c r="L133" i="10"/>
  <c r="L139" i="10" s="1"/>
  <c r="L200" i="10"/>
  <c r="L201" i="10" s="1"/>
  <c r="L216" i="10"/>
  <c r="L217" i="10" s="1"/>
  <c r="L250" i="10"/>
  <c r="L251" i="10" s="1"/>
  <c r="L252" i="10" s="1"/>
  <c r="L268" i="10"/>
  <c r="L269" i="10" s="1"/>
  <c r="L270" i="10" s="1"/>
  <c r="L307" i="10"/>
  <c r="L308" i="10" s="1"/>
  <c r="L309" i="10" s="1"/>
  <c r="L82" i="10"/>
  <c r="L88" i="10" s="1"/>
  <c r="L184" i="10"/>
  <c r="L185" i="10" s="1"/>
  <c r="H153" i="7"/>
  <c r="H69" i="7"/>
  <c r="H178" i="7"/>
  <c r="H134" i="7"/>
  <c r="H103" i="7"/>
  <c r="H256" i="6"/>
  <c r="H257" i="6" s="1"/>
  <c r="H275" i="6"/>
  <c r="H276" i="6" s="1"/>
  <c r="H99" i="6"/>
  <c r="H113" i="6"/>
  <c r="H128" i="6"/>
  <c r="H251" i="6"/>
  <c r="H252" i="6" s="1"/>
  <c r="H133" i="6"/>
  <c r="H261" i="6"/>
  <c r="H262" i="6" s="1"/>
  <c r="H316" i="6"/>
  <c r="H317" i="6" s="1"/>
  <c r="H102" i="6"/>
  <c r="H124" i="6"/>
  <c r="H149" i="6"/>
  <c r="H241" i="6"/>
  <c r="H242" i="6" s="1"/>
  <c r="H302" i="6"/>
  <c r="H303" i="6" s="1"/>
  <c r="H121" i="6"/>
  <c r="H68" i="6"/>
  <c r="H211" i="6"/>
  <c r="H212" i="6" s="1"/>
  <c r="H268" i="6"/>
  <c r="H269" i="6" s="1"/>
  <c r="H24" i="6"/>
  <c r="H201" i="6"/>
  <c r="H202" i="6" s="1"/>
  <c r="H60" i="6"/>
  <c r="H65" i="6"/>
  <c r="H222" i="6"/>
  <c r="H223" i="6" s="1"/>
  <c r="H229" i="6"/>
  <c r="H230" i="6" s="1"/>
  <c r="H140" i="6"/>
  <c r="H118" i="6"/>
  <c r="H246" i="6"/>
  <c r="H247" i="6" s="1"/>
  <c r="H84" i="6"/>
  <c r="H85" i="6" s="1"/>
  <c r="H74" i="6"/>
  <c r="H75" i="6" s="1"/>
  <c r="H152" i="6"/>
  <c r="H295" i="6"/>
  <c r="H296" i="6" s="1"/>
  <c r="H236" i="6"/>
  <c r="H237" i="6" s="1"/>
  <c r="H92" i="6"/>
  <c r="H153" i="6"/>
  <c r="H178" i="6"/>
  <c r="H41" i="6"/>
  <c r="H48" i="6"/>
  <c r="H34" i="6"/>
  <c r="I48" i="5"/>
  <c r="I41" i="5"/>
  <c r="I24" i="5"/>
  <c r="I34" i="5"/>
  <c r="I41" i="3"/>
  <c r="I34" i="3"/>
  <c r="I48" i="3"/>
  <c r="I24" i="3"/>
  <c r="D32" i="11" l="1"/>
  <c r="G32" i="11" s="1"/>
  <c r="K32" i="11" s="1"/>
  <c r="D24" i="11"/>
  <c r="G24" i="11" s="1"/>
  <c r="K24" i="11" s="1"/>
  <c r="D22" i="11"/>
  <c r="G22" i="11" s="1"/>
  <c r="K22" i="11" s="1"/>
  <c r="D36" i="11"/>
  <c r="G36" i="11" s="1"/>
  <c r="K36" i="11" s="1"/>
  <c r="D30" i="11"/>
  <c r="G30" i="11" s="1"/>
  <c r="K30" i="11" s="1"/>
  <c r="D26" i="11"/>
  <c r="G26" i="11" s="1"/>
  <c r="K26" i="11" s="1"/>
  <c r="D37" i="11"/>
  <c r="G37" i="11" s="1"/>
  <c r="K37" i="11" s="1"/>
  <c r="D31" i="11"/>
  <c r="G31" i="11" s="1"/>
  <c r="K31" i="11" s="1"/>
  <c r="D29" i="11"/>
  <c r="G29" i="11" s="1"/>
  <c r="K29" i="11" s="1"/>
  <c r="D28" i="11"/>
  <c r="G28" i="11" s="1"/>
  <c r="K28" i="11" s="1"/>
  <c r="D23" i="11"/>
  <c r="G23" i="11" s="1"/>
  <c r="K23" i="11" s="1"/>
  <c r="D21" i="11"/>
  <c r="G21" i="11" s="1"/>
  <c r="K21" i="11" s="1"/>
  <c r="H32" i="11"/>
  <c r="D38" i="11"/>
  <c r="G38" i="11" s="1"/>
  <c r="K38" i="11" s="1"/>
  <c r="D39" i="11"/>
  <c r="G39" i="11" s="1"/>
  <c r="D40" i="11"/>
  <c r="G40" i="11" s="1"/>
  <c r="D20" i="11"/>
  <c r="G20" i="11" s="1"/>
  <c r="D13" i="11"/>
  <c r="G13" i="11" s="1"/>
  <c r="K13" i="11" s="1"/>
  <c r="D14" i="11"/>
  <c r="G14" i="11" s="1"/>
  <c r="H14" i="11" s="1"/>
  <c r="D17" i="11"/>
  <c r="G17" i="11" s="1"/>
  <c r="D15" i="11"/>
  <c r="G15" i="11" s="1"/>
  <c r="K15" i="11" s="1"/>
  <c r="D19" i="11"/>
  <c r="G19" i="11" s="1"/>
  <c r="D16" i="11"/>
  <c r="G16" i="11" s="1"/>
  <c r="K16" i="11" s="1"/>
  <c r="D18" i="11"/>
  <c r="G18" i="11" s="1"/>
  <c r="K18" i="11" s="1"/>
  <c r="H24" i="11"/>
  <c r="K191" i="11"/>
  <c r="H284" i="11"/>
  <c r="H299" i="11"/>
  <c r="H294" i="11"/>
  <c r="H260" i="11"/>
  <c r="H249" i="11"/>
  <c r="K141" i="11"/>
  <c r="G172" i="11"/>
  <c r="H172" i="11" s="1"/>
  <c r="K72" i="11"/>
  <c r="K87" i="11" s="1"/>
  <c r="G87" i="11"/>
  <c r="K151" i="11"/>
  <c r="K172" i="11" s="1"/>
  <c r="G191" i="11"/>
  <c r="H191" i="11" s="1"/>
  <c r="G107" i="11"/>
  <c r="H107" i="11" s="1"/>
  <c r="H313" i="11"/>
  <c r="H340" i="11"/>
  <c r="G216" i="11"/>
  <c r="H216" i="11" s="1"/>
  <c r="H279" i="11"/>
  <c r="H239" i="11"/>
  <c r="H267" i="11"/>
  <c r="G141" i="11"/>
  <c r="H141" i="11" s="1"/>
  <c r="K216" i="11"/>
  <c r="G113" i="11"/>
  <c r="H113" i="11" s="1"/>
  <c r="H112" i="11"/>
  <c r="K249" i="11"/>
  <c r="K250" i="11" s="1"/>
  <c r="H306" i="11"/>
  <c r="G123" i="11"/>
  <c r="H123" i="11" s="1"/>
  <c r="H122" i="11"/>
  <c r="H289" i="11"/>
  <c r="G290" i="11"/>
  <c r="H290" i="11" s="1"/>
  <c r="G275" i="11"/>
  <c r="H275" i="11" s="1"/>
  <c r="H274" i="11"/>
  <c r="H333" i="11"/>
  <c r="K107" i="11"/>
  <c r="H143" i="10"/>
  <c r="H109" i="10"/>
  <c r="H218" i="10"/>
  <c r="H174" i="10"/>
  <c r="H89" i="10"/>
  <c r="H193" i="10"/>
  <c r="L193" i="10"/>
  <c r="L143" i="10"/>
  <c r="L109" i="10"/>
  <c r="L218" i="10"/>
  <c r="L89" i="10"/>
  <c r="L174" i="10"/>
  <c r="H103" i="6"/>
  <c r="H49" i="6"/>
  <c r="H134" i="6"/>
  <c r="H69" i="6"/>
  <c r="I49" i="3"/>
  <c r="H30" i="11" l="1"/>
  <c r="H22" i="11"/>
  <c r="H36" i="11"/>
  <c r="H21" i="11"/>
  <c r="H26" i="11"/>
  <c r="H38" i="11"/>
  <c r="H31" i="11"/>
  <c r="H37" i="11"/>
  <c r="H29" i="11"/>
  <c r="H23" i="11"/>
  <c r="H28" i="11"/>
  <c r="H13" i="11"/>
  <c r="H15" i="11"/>
  <c r="K40" i="11"/>
  <c r="H40" i="11"/>
  <c r="H18" i="11"/>
  <c r="K17" i="11"/>
  <c r="H17" i="11"/>
  <c r="K20" i="11"/>
  <c r="H20" i="11"/>
  <c r="K39" i="11"/>
  <c r="H39" i="11"/>
  <c r="K19" i="11"/>
  <c r="H19" i="11"/>
  <c r="H16" i="11"/>
  <c r="G42" i="11"/>
  <c r="H42" i="11" s="1"/>
  <c r="K14" i="11"/>
  <c r="H87" i="11"/>
  <c r="K42" i="11" l="1"/>
  <c r="K43" i="11" s="1"/>
  <c r="G43" i="11"/>
  <c r="G348" i="11" s="1"/>
  <c r="G349" i="11" s="1"/>
  <c r="G352" i="11" s="1"/>
  <c r="G365" i="11"/>
  <c r="G356" i="11" l="1"/>
  <c r="K356" i="11" s="1"/>
  <c r="H43" i="11"/>
  <c r="G353" i="11"/>
  <c r="G354" i="11"/>
  <c r="K354" i="11" s="1"/>
  <c r="G355" i="11"/>
  <c r="K355" i="11" s="1"/>
  <c r="G351" i="11"/>
  <c r="H351" i="11" s="1"/>
  <c r="G357" i="11"/>
  <c r="K357" i="11" s="1"/>
  <c r="K352" i="11"/>
  <c r="H352" i="11"/>
  <c r="K351" i="11" l="1"/>
  <c r="H356" i="11"/>
  <c r="H357" i="11"/>
  <c r="G358" i="11"/>
  <c r="G359" i="11" s="1"/>
  <c r="H359" i="11" s="1"/>
  <c r="H355" i="11"/>
  <c r="H354" i="11"/>
  <c r="H353" i="11"/>
  <c r="K353" i="11"/>
  <c r="K358" i="11" l="1"/>
  <c r="K359" i="11" s="1"/>
  <c r="H358" i="11"/>
</calcChain>
</file>

<file path=xl/sharedStrings.xml><?xml version="1.0" encoding="utf-8"?>
<sst xmlns="http://schemas.openxmlformats.org/spreadsheetml/2006/main" count="6862" uniqueCount="1056">
  <si>
    <t>Year</t>
  </si>
  <si>
    <t>Holiday</t>
  </si>
  <si>
    <t>Date</t>
  </si>
  <si>
    <t>New Year's Day</t>
  </si>
  <si>
    <t>Memorial Day</t>
  </si>
  <si>
    <t>Independence Day</t>
  </si>
  <si>
    <t>Labor Day</t>
  </si>
  <si>
    <t>Thanksgiving</t>
  </si>
  <si>
    <t>Day After Thanksgiving</t>
  </si>
  <si>
    <t>Christmas</t>
  </si>
  <si>
    <t>Project Name</t>
  </si>
  <si>
    <t>Address</t>
  </si>
  <si>
    <t>City, State, Zip</t>
  </si>
  <si>
    <t>Construction Contingency</t>
  </si>
  <si>
    <t>Design Contingency</t>
  </si>
  <si>
    <t>Builders Risk Insurance</t>
  </si>
  <si>
    <t>Special Insurance</t>
  </si>
  <si>
    <t>General Liability Insurance</t>
  </si>
  <si>
    <t>Bond</t>
  </si>
  <si>
    <t>Fee</t>
  </si>
  <si>
    <t>Description</t>
  </si>
  <si>
    <t>03-0000</t>
  </si>
  <si>
    <t>Concrete Strip Footing</t>
  </si>
  <si>
    <t>lf</t>
  </si>
  <si>
    <t>Concrete Fnd Pads</t>
  </si>
  <si>
    <t>ea</t>
  </si>
  <si>
    <t>Concrete Walls</t>
  </si>
  <si>
    <t>sf</t>
  </si>
  <si>
    <t>SOG</t>
  </si>
  <si>
    <t>Quantity</t>
  </si>
  <si>
    <t>Unit</t>
  </si>
  <si>
    <t>03-4100</t>
  </si>
  <si>
    <t>Precast Structural Concrete</t>
  </si>
  <si>
    <t>03-5413</t>
  </si>
  <si>
    <t>Gypsum Cement Underlayment</t>
  </si>
  <si>
    <t>04-0000</t>
  </si>
  <si>
    <t>Masonry - Veneer</t>
  </si>
  <si>
    <t>06-1000</t>
  </si>
  <si>
    <t>07-1000</t>
  </si>
  <si>
    <t>Waterproofing</t>
  </si>
  <si>
    <t>07-1413</t>
  </si>
  <si>
    <t>Hot-Fluid-Applied Waterproofing</t>
  </si>
  <si>
    <t>07-2500</t>
  </si>
  <si>
    <t>Weather Barriers</t>
  </si>
  <si>
    <t>Total</t>
  </si>
  <si>
    <t>Material</t>
  </si>
  <si>
    <t>07-2400</t>
  </si>
  <si>
    <t>Stucco, Plaster, EIFS</t>
  </si>
  <si>
    <t>07-3113</t>
  </si>
  <si>
    <t>Asphalt Shingles</t>
  </si>
  <si>
    <t>07-4213</t>
  </si>
  <si>
    <t>Metal Panel Siding</t>
  </si>
  <si>
    <t>07-4600</t>
  </si>
  <si>
    <t>Siding</t>
  </si>
  <si>
    <t>07-5000</t>
  </si>
  <si>
    <t>Membrane Roofing</t>
  </si>
  <si>
    <t>08-5413</t>
  </si>
  <si>
    <t>Windows and Patio Doors</t>
  </si>
  <si>
    <t>08-4000</t>
  </si>
  <si>
    <t>Bldg. Sqft.</t>
  </si>
  <si>
    <t>Code</t>
  </si>
  <si>
    <t>Rate</t>
  </si>
  <si>
    <t>Cost/S.F.</t>
  </si>
  <si>
    <t>01-0410</t>
  </si>
  <si>
    <t>Sr Superintendent</t>
  </si>
  <si>
    <t>hr</t>
  </si>
  <si>
    <t>01-0420</t>
  </si>
  <si>
    <t>Superintendent</t>
  </si>
  <si>
    <t>01-0430</t>
  </si>
  <si>
    <t>Asst. Superintendent</t>
  </si>
  <si>
    <t>01-0001</t>
  </si>
  <si>
    <t>Preconstruction Fees</t>
  </si>
  <si>
    <t>ls</t>
  </si>
  <si>
    <t>Design - Architecture</t>
  </si>
  <si>
    <t>Design - Civil</t>
  </si>
  <si>
    <t>Design - MEP</t>
  </si>
  <si>
    <t>Design - Structural</t>
  </si>
  <si>
    <t>01-0310</t>
  </si>
  <si>
    <t>Project Executive</t>
  </si>
  <si>
    <t>01-0320</t>
  </si>
  <si>
    <t>Sr Project Manager</t>
  </si>
  <si>
    <t>01-0330</t>
  </si>
  <si>
    <t>Project Manager</t>
  </si>
  <si>
    <t>01-0340</t>
  </si>
  <si>
    <t>Project Engineer</t>
  </si>
  <si>
    <t>01-0510</t>
  </si>
  <si>
    <t>Project Assistant</t>
  </si>
  <si>
    <t>01-0610</t>
  </si>
  <si>
    <t>%</t>
  </si>
  <si>
    <t>01-1000</t>
  </si>
  <si>
    <t>Small Tools</t>
  </si>
  <si>
    <t>mo</t>
  </si>
  <si>
    <t>01-1200</t>
  </si>
  <si>
    <t>Fuel and Vehicle Charges</t>
  </si>
  <si>
    <t>01-1400</t>
  </si>
  <si>
    <t>Travel and Meals</t>
  </si>
  <si>
    <t>01-1600</t>
  </si>
  <si>
    <t>Procore</t>
  </si>
  <si>
    <t>01-4010</t>
  </si>
  <si>
    <t>Quality</t>
  </si>
  <si>
    <t>01-5110</t>
  </si>
  <si>
    <t>01-5111</t>
  </si>
  <si>
    <t>Cell Phone</t>
  </si>
  <si>
    <t>01-5112</t>
  </si>
  <si>
    <t>Jobsite Office Equipment</t>
  </si>
  <si>
    <t>01-5114</t>
  </si>
  <si>
    <t>Project Computers / Internet</t>
  </si>
  <si>
    <t>01-5120</t>
  </si>
  <si>
    <t>Storage Trailer</t>
  </si>
  <si>
    <t>01-5130</t>
  </si>
  <si>
    <t>Dumpsters</t>
  </si>
  <si>
    <t>01-5140</t>
  </si>
  <si>
    <t>Temporary Toilets</t>
  </si>
  <si>
    <t>01-5150</t>
  </si>
  <si>
    <t>Temporary Fire Extinguishers</t>
  </si>
  <si>
    <t>01-5160</t>
  </si>
  <si>
    <t>Temporary Project Signs</t>
  </si>
  <si>
    <t>01-5170</t>
  </si>
  <si>
    <t>Temporary Electric</t>
  </si>
  <si>
    <t>01-5180</t>
  </si>
  <si>
    <t>Temporary Gas (not winter heat)</t>
  </si>
  <si>
    <t>01-5190</t>
  </si>
  <si>
    <t>Temporary Water</t>
  </si>
  <si>
    <t>01-6010</t>
  </si>
  <si>
    <t>Courier services</t>
  </si>
  <si>
    <t>01-6020</t>
  </si>
  <si>
    <t>Plan Reproduction</t>
  </si>
  <si>
    <t>01-7010</t>
  </si>
  <si>
    <t>Legal Fees</t>
  </si>
  <si>
    <t>Site Operations</t>
  </si>
  <si>
    <t>Soil Borings</t>
  </si>
  <si>
    <t>FFE Relocation</t>
  </si>
  <si>
    <t>02-8213</t>
  </si>
  <si>
    <t>Abatement</t>
  </si>
  <si>
    <t>02-9010</t>
  </si>
  <si>
    <t>Progress Cleaning - Payroll</t>
  </si>
  <si>
    <t>Progress Cleaning - Hired</t>
  </si>
  <si>
    <t>02-9015</t>
  </si>
  <si>
    <t xml:space="preserve">Safety  </t>
  </si>
  <si>
    <t>02-9020</t>
  </si>
  <si>
    <t>Temp Protection</t>
  </si>
  <si>
    <t>02-9025</t>
  </si>
  <si>
    <t>Temporary Partitions</t>
  </si>
  <si>
    <t>02-9030</t>
  </si>
  <si>
    <t>Traffic Control and Jersey Barriers</t>
  </si>
  <si>
    <t>02-9035</t>
  </si>
  <si>
    <t>Temporary Fencing</t>
  </si>
  <si>
    <t>02-9040</t>
  </si>
  <si>
    <t>Scrim</t>
  </si>
  <si>
    <t>02-9045</t>
  </si>
  <si>
    <t>Temp Access Roads</t>
  </si>
  <si>
    <t>02-9050</t>
  </si>
  <si>
    <t>Site Security</t>
  </si>
  <si>
    <t>02-9055</t>
  </si>
  <si>
    <t>Site Security Cameras</t>
  </si>
  <si>
    <t>02-9060</t>
  </si>
  <si>
    <t>Jobsite Camera</t>
  </si>
  <si>
    <t>02-9065</t>
  </si>
  <si>
    <t>02-4100</t>
  </si>
  <si>
    <t>Demolition</t>
  </si>
  <si>
    <t>02-9005</t>
  </si>
  <si>
    <t>Final Cleaning</t>
  </si>
  <si>
    <t>02-9070</t>
  </si>
  <si>
    <t>SWPPP Permit</t>
  </si>
  <si>
    <t>02-9200</t>
  </si>
  <si>
    <t>Survey &amp; Layout</t>
  </si>
  <si>
    <t>02-9305</t>
  </si>
  <si>
    <t>City Requirements</t>
  </si>
  <si>
    <t>02-9307</t>
  </si>
  <si>
    <t>Knox Box</t>
  </si>
  <si>
    <t>02-9310</t>
  </si>
  <si>
    <t>Permanent Power Service</t>
  </si>
  <si>
    <t>02-9315</t>
  </si>
  <si>
    <t>Temporary Power Service</t>
  </si>
  <si>
    <t>02-9320</t>
  </si>
  <si>
    <t>Gas Service</t>
  </si>
  <si>
    <t>02-9325</t>
  </si>
  <si>
    <t>Cable Service</t>
  </si>
  <si>
    <t>02-9330</t>
  </si>
  <si>
    <t>Data Service</t>
  </si>
  <si>
    <t>02-9405</t>
  </si>
  <si>
    <t>Material Hoist / Trash Chute</t>
  </si>
  <si>
    <t>02-9410</t>
  </si>
  <si>
    <t>Scaffolding &amp; Platforms</t>
  </si>
  <si>
    <t>02-9415</t>
  </si>
  <si>
    <t>Crane Rental</t>
  </si>
  <si>
    <t>02-9420</t>
  </si>
  <si>
    <t>Equipment Rental</t>
  </si>
  <si>
    <t>02-9425</t>
  </si>
  <si>
    <t>Forklift Rental</t>
  </si>
  <si>
    <t>02-9430</t>
  </si>
  <si>
    <t>Street Sweeping</t>
  </si>
  <si>
    <t>02-9505</t>
  </si>
  <si>
    <t>02-9510</t>
  </si>
  <si>
    <t>Vibration Monitoring</t>
  </si>
  <si>
    <t>02-9515</t>
  </si>
  <si>
    <t>Acoustic Testing</t>
  </si>
  <si>
    <t>02-9520</t>
  </si>
  <si>
    <t>Window Testing</t>
  </si>
  <si>
    <t>02-9525</t>
  </si>
  <si>
    <t>Weather Barrier Testing</t>
  </si>
  <si>
    <t>02-9530</t>
  </si>
  <si>
    <t>Gypcrete Testing</t>
  </si>
  <si>
    <t>Vendor</t>
  </si>
  <si>
    <t>01-0000</t>
  </si>
  <si>
    <t>General Conditions</t>
  </si>
  <si>
    <t>Cast In-Place Concrete</t>
  </si>
  <si>
    <t>cy</t>
  </si>
  <si>
    <t>Topping Slab on Precast Parking</t>
  </si>
  <si>
    <t>Amenity Deck Topping Slab and Finished Slab</t>
  </si>
  <si>
    <t>Post Tension Concrete</t>
  </si>
  <si>
    <t>03-3543</t>
  </si>
  <si>
    <t>Polished Concrete</t>
  </si>
  <si>
    <t>03-4500</t>
  </si>
  <si>
    <t>Precast Architectural Concrete</t>
  </si>
  <si>
    <t>Gypsum Cement (Subtract Podium Level If Pt)</t>
  </si>
  <si>
    <t>Masonry</t>
  </si>
  <si>
    <t>05-1200</t>
  </si>
  <si>
    <t xml:space="preserve">Structural Steel </t>
  </si>
  <si>
    <t>05-5000</t>
  </si>
  <si>
    <t>Metal Fabrications</t>
  </si>
  <si>
    <t>05-7210</t>
  </si>
  <si>
    <t xml:space="preserve">Aluminum Decks </t>
  </si>
  <si>
    <t xml:space="preserve">Aluminum Decks - Juliette </t>
  </si>
  <si>
    <t>Aluminum Railings - F&amp;I</t>
  </si>
  <si>
    <t>Aluminum Decks And Railings - Installation</t>
  </si>
  <si>
    <t>06-1010</t>
  </si>
  <si>
    <t>Rough Carpentry Installation</t>
  </si>
  <si>
    <t>06-1710</t>
  </si>
  <si>
    <t>Manufactured Wall Panels</t>
  </si>
  <si>
    <t>06-1753</t>
  </si>
  <si>
    <t>Shop-Fabricated Wood Trusses</t>
  </si>
  <si>
    <t>06-1800</t>
  </si>
  <si>
    <t>Glu-Laminated Construction</t>
  </si>
  <si>
    <t>06-2000</t>
  </si>
  <si>
    <t>Finish Carpentry Installation</t>
  </si>
  <si>
    <t>06-2200</t>
  </si>
  <si>
    <t>Millwork</t>
  </si>
  <si>
    <t>06-4100</t>
  </si>
  <si>
    <t>06-6113</t>
  </si>
  <si>
    <t>Cultured Marble Fabrications</t>
  </si>
  <si>
    <t>06-6116</t>
  </si>
  <si>
    <t>Solid Surfacing And Ctops</t>
  </si>
  <si>
    <t>06-8316</t>
  </si>
  <si>
    <t>FRP Wall Paneling</t>
  </si>
  <si>
    <t>06-7300</t>
  </si>
  <si>
    <t>Composite Decking</t>
  </si>
  <si>
    <t>06-8700</t>
  </si>
  <si>
    <t>Pergolas</t>
  </si>
  <si>
    <t>Elevator Waterproofing</t>
  </si>
  <si>
    <t>Patios</t>
  </si>
  <si>
    <t>Sky Deck</t>
  </si>
  <si>
    <t>07-1800</t>
  </si>
  <si>
    <t>Traffic Coatings</t>
  </si>
  <si>
    <t>07-2100</t>
  </si>
  <si>
    <t>Thermal Insulation</t>
  </si>
  <si>
    <t>Stucco, Plaster, Eifs</t>
  </si>
  <si>
    <t>07-2700</t>
  </si>
  <si>
    <t>Spray-Applied Air Barriers</t>
  </si>
  <si>
    <t>Gutters And Downspouts</t>
  </si>
  <si>
    <t>Metal Roofing</t>
  </si>
  <si>
    <t>07-6200</t>
  </si>
  <si>
    <t>Sheet Metal Flashing</t>
  </si>
  <si>
    <t>07-7600</t>
  </si>
  <si>
    <t>Roof Pavers</t>
  </si>
  <si>
    <t>07-8100</t>
  </si>
  <si>
    <t>Applied Fire Proofing</t>
  </si>
  <si>
    <t>07-8400</t>
  </si>
  <si>
    <t>Firestopping</t>
  </si>
  <si>
    <t>07-9200</t>
  </si>
  <si>
    <t>Joint Sealants</t>
  </si>
  <si>
    <t>07-9500</t>
  </si>
  <si>
    <t>Expansion Joints</t>
  </si>
  <si>
    <t>08-1000</t>
  </si>
  <si>
    <t>08-3000</t>
  </si>
  <si>
    <t>Specialty Doors and Frames</t>
  </si>
  <si>
    <t>08-3113</t>
  </si>
  <si>
    <t>Access Doors and Panels</t>
  </si>
  <si>
    <t>08-3613</t>
  </si>
  <si>
    <t>Overhead and Coiling Doors</t>
  </si>
  <si>
    <t>Aluminum Entrances and Storefronts</t>
  </si>
  <si>
    <t>Aluminum Storefront Doors</t>
  </si>
  <si>
    <t>08-4400</t>
  </si>
  <si>
    <t xml:space="preserve">Curtain Wall  </t>
  </si>
  <si>
    <t>08-5113</t>
  </si>
  <si>
    <t>Aluminum Windows and Patio Doors</t>
  </si>
  <si>
    <t>Roof Windows and Skylights</t>
  </si>
  <si>
    <t>08-8000</t>
  </si>
  <si>
    <t>Glazing</t>
  </si>
  <si>
    <t>08-8330</t>
  </si>
  <si>
    <t>Mirrors</t>
  </si>
  <si>
    <t>Window Film</t>
  </si>
  <si>
    <t>Louvers and Vents</t>
  </si>
  <si>
    <t>09-2116</t>
  </si>
  <si>
    <t>Gypsum Board Assemblies</t>
  </si>
  <si>
    <t>09-2216</t>
  </si>
  <si>
    <t>Steel Stud Metal Framing</t>
  </si>
  <si>
    <t>09-3000</t>
  </si>
  <si>
    <t>Tile</t>
  </si>
  <si>
    <t>09-5123</t>
  </si>
  <si>
    <t>Acoustical Ceilings</t>
  </si>
  <si>
    <t>09-6400</t>
  </si>
  <si>
    <t>Wood Flooring</t>
  </si>
  <si>
    <t>09-6500</t>
  </si>
  <si>
    <t>Resilient Flooring</t>
  </si>
  <si>
    <t>09-6600</t>
  </si>
  <si>
    <t>Terrazzo Flooring</t>
  </si>
  <si>
    <t>09-6800</t>
  </si>
  <si>
    <t>Carpeting</t>
  </si>
  <si>
    <t>sy</t>
  </si>
  <si>
    <t>09-7200</t>
  </si>
  <si>
    <t>Wall Coverings</t>
  </si>
  <si>
    <t>09-9000</t>
  </si>
  <si>
    <t>Painting</t>
  </si>
  <si>
    <t>09-9646</t>
  </si>
  <si>
    <t>Intumescent Painting</t>
  </si>
  <si>
    <t>09-9656</t>
  </si>
  <si>
    <t>Epoxy Flooring</t>
  </si>
  <si>
    <t>Specialties</t>
  </si>
  <si>
    <t>10-1400</t>
  </si>
  <si>
    <t>Signage</t>
  </si>
  <si>
    <t>Signage - Monument Sign</t>
  </si>
  <si>
    <t>10-1453</t>
  </si>
  <si>
    <t>Traffic Signage</t>
  </si>
  <si>
    <t>10-2113</t>
  </si>
  <si>
    <t>Toilet Partitions</t>
  </si>
  <si>
    <t>10-2213</t>
  </si>
  <si>
    <t>Wire Mesh Storage Cages</t>
  </si>
  <si>
    <t>10-2226</t>
  </si>
  <si>
    <t>Operable Partitions</t>
  </si>
  <si>
    <t>10-2600</t>
  </si>
  <si>
    <t>Wall and Door Protection</t>
  </si>
  <si>
    <t>10-2800</t>
  </si>
  <si>
    <t>Toilet and Bath Accessories</t>
  </si>
  <si>
    <t>10-2819</t>
  </si>
  <si>
    <t>Tub and Shower Doors</t>
  </si>
  <si>
    <t>10-3100</t>
  </si>
  <si>
    <t>Manufactured Fireplaces</t>
  </si>
  <si>
    <t>Manufactured Fireplaces - Commons</t>
  </si>
  <si>
    <t>10-3110</t>
  </si>
  <si>
    <t>Outdoor Fire Pits</t>
  </si>
  <si>
    <t>10-4413</t>
  </si>
  <si>
    <t>Fire Extinguishers and Cabinets</t>
  </si>
  <si>
    <t>10-5100</t>
  </si>
  <si>
    <t>Lockers</t>
  </si>
  <si>
    <t>10-5500</t>
  </si>
  <si>
    <t>Postal Specialties</t>
  </si>
  <si>
    <t>Package Concierge</t>
  </si>
  <si>
    <t>10-5623</t>
  </si>
  <si>
    <t>Closet Shelving</t>
  </si>
  <si>
    <t>10-7313</t>
  </si>
  <si>
    <t>Awnings and Canopies</t>
  </si>
  <si>
    <t>10-7500</t>
  </si>
  <si>
    <t>Flagpoles</t>
  </si>
  <si>
    <t>10-9000</t>
  </si>
  <si>
    <t>Golf Simulator</t>
  </si>
  <si>
    <t>11-1313</t>
  </si>
  <si>
    <t>Loading Dock Equip</t>
  </si>
  <si>
    <t>11-2423</t>
  </si>
  <si>
    <t>Window Washing System</t>
  </si>
  <si>
    <t>11-3100</t>
  </si>
  <si>
    <t>Appliances</t>
  </si>
  <si>
    <t>11-3110</t>
  </si>
  <si>
    <t>Outdoor Gas Grill</t>
  </si>
  <si>
    <t>11-4000</t>
  </si>
  <si>
    <t>Food Service Equipment</t>
  </si>
  <si>
    <t>11-6700</t>
  </si>
  <si>
    <t>Recreational Equipment</t>
  </si>
  <si>
    <t>11-8216</t>
  </si>
  <si>
    <t>Trash Compactors</t>
  </si>
  <si>
    <t>12-2000</t>
  </si>
  <si>
    <t>Window Treatments</t>
  </si>
  <si>
    <t>12-3530</t>
  </si>
  <si>
    <t>Residential Casework - Installation</t>
  </si>
  <si>
    <t>12-3640</t>
  </si>
  <si>
    <t>Residential Countertops</t>
  </si>
  <si>
    <t>12-3663</t>
  </si>
  <si>
    <t>Window Sills</t>
  </si>
  <si>
    <t>12-4000</t>
  </si>
  <si>
    <t>Furnishings and Accessories</t>
  </si>
  <si>
    <t>12-4813</t>
  </si>
  <si>
    <t>Entrance Floor Mats and Frames</t>
  </si>
  <si>
    <t>12-9313</t>
  </si>
  <si>
    <t>Bike Equipment and Racks</t>
  </si>
  <si>
    <t>13-1100</t>
  </si>
  <si>
    <t>Swimming Pool</t>
  </si>
  <si>
    <t>Spa</t>
  </si>
  <si>
    <t>13-1900</t>
  </si>
  <si>
    <t>Pet Equipment</t>
  </si>
  <si>
    <t>13-2416</t>
  </si>
  <si>
    <t>Saunas</t>
  </si>
  <si>
    <t>Post Frame Building Systems</t>
  </si>
  <si>
    <t>14-0000</t>
  </si>
  <si>
    <t>Conveying Equipment</t>
  </si>
  <si>
    <t>14-2000</t>
  </si>
  <si>
    <t>Elevators</t>
  </si>
  <si>
    <t>14-4200</t>
  </si>
  <si>
    <t>Wheelchair Lifts</t>
  </si>
  <si>
    <t>14-9182</t>
  </si>
  <si>
    <t>Trash Chute</t>
  </si>
  <si>
    <t>21-0000</t>
  </si>
  <si>
    <t>Fire Suppression System</t>
  </si>
  <si>
    <t>Fire Pump</t>
  </si>
  <si>
    <t>22-0000</t>
  </si>
  <si>
    <t>Plumbing</t>
  </si>
  <si>
    <t>Domestic Water Pump</t>
  </si>
  <si>
    <t>23-0000</t>
  </si>
  <si>
    <t>26-0000</t>
  </si>
  <si>
    <t>Electrical</t>
  </si>
  <si>
    <t>27-2000</t>
  </si>
  <si>
    <t>Data Communications</t>
  </si>
  <si>
    <t>27-4000</t>
  </si>
  <si>
    <t>Audio-Video Communications</t>
  </si>
  <si>
    <t>28-1300</t>
  </si>
  <si>
    <t>Access Control</t>
  </si>
  <si>
    <t>28-3000</t>
  </si>
  <si>
    <t>Video Surveillance</t>
  </si>
  <si>
    <t>28-4600</t>
  </si>
  <si>
    <t>Fire Detection And Alarm</t>
  </si>
  <si>
    <t>28-9010</t>
  </si>
  <si>
    <t>Radio Amplification System</t>
  </si>
  <si>
    <t>31-0000</t>
  </si>
  <si>
    <t>Earthwork</t>
  </si>
  <si>
    <t>31-2113</t>
  </si>
  <si>
    <t>Radon Mitigation</t>
  </si>
  <si>
    <t>Erosion Control</t>
  </si>
  <si>
    <t>31-4000</t>
  </si>
  <si>
    <t>Shoring</t>
  </si>
  <si>
    <t>31-6000</t>
  </si>
  <si>
    <t>Piles, Piers And Caissons</t>
  </si>
  <si>
    <t>32-1216</t>
  </si>
  <si>
    <t>Asphalt Paving</t>
  </si>
  <si>
    <t>Asphalt Paving - Heavy Duty</t>
  </si>
  <si>
    <t>32-1313</t>
  </si>
  <si>
    <t>Concrete Paving</t>
  </si>
  <si>
    <t>32-1316</t>
  </si>
  <si>
    <t>Decorative Concrete Paving</t>
  </si>
  <si>
    <t>32-1343</t>
  </si>
  <si>
    <t>Pervious Concrete Paving</t>
  </si>
  <si>
    <t>32-1400</t>
  </si>
  <si>
    <t>Unit Pavers</t>
  </si>
  <si>
    <t>32-1613</t>
  </si>
  <si>
    <t>Site Concrete</t>
  </si>
  <si>
    <t>Surmountable Curb</t>
  </si>
  <si>
    <t>B612 Curb</t>
  </si>
  <si>
    <t>Cross Gutter</t>
  </si>
  <si>
    <t>Light Duty Concrete</t>
  </si>
  <si>
    <t>Heavy Duty Concrete</t>
  </si>
  <si>
    <t>Pavement Markings</t>
  </si>
  <si>
    <t>32-1813</t>
  </si>
  <si>
    <t>Artificial Turf</t>
  </si>
  <si>
    <t>32-3100</t>
  </si>
  <si>
    <t>Fences and Gates</t>
  </si>
  <si>
    <t>32-3200</t>
  </si>
  <si>
    <t>Retaining Walls</t>
  </si>
  <si>
    <t>32-9000</t>
  </si>
  <si>
    <t>Landscaping And Irrigation</t>
  </si>
  <si>
    <t>33-0000</t>
  </si>
  <si>
    <t>Utilities</t>
  </si>
  <si>
    <t>Water</t>
  </si>
  <si>
    <t xml:space="preserve">Sanitary </t>
  </si>
  <si>
    <t>50-2000</t>
  </si>
  <si>
    <t>Winter Conditions</t>
  </si>
  <si>
    <t>01-0230</t>
  </si>
  <si>
    <t>Building Permit</t>
  </si>
  <si>
    <t>01-0250</t>
  </si>
  <si>
    <t>Demolition Permit</t>
  </si>
  <si>
    <t>01-0260</t>
  </si>
  <si>
    <t>60-1000</t>
  </si>
  <si>
    <t>60-1005</t>
  </si>
  <si>
    <t>60-2010</t>
  </si>
  <si>
    <t>60-2015</t>
  </si>
  <si>
    <t>60-2020</t>
  </si>
  <si>
    <t>60-2025</t>
  </si>
  <si>
    <t>60-4000</t>
  </si>
  <si>
    <t xml:space="preserve"> </t>
  </si>
  <si>
    <t>Project Name:</t>
  </si>
  <si>
    <t>Cost Code</t>
  </si>
  <si>
    <t>Cost Type</t>
  </si>
  <si>
    <t>Manual Calculation</t>
  </si>
  <si>
    <t>Unit Qty</t>
  </si>
  <si>
    <t>UOM</t>
  </si>
  <si>
    <t>Unit Cost</t>
  </si>
  <si>
    <t>Budget Amount</t>
  </si>
  <si>
    <t>Start Date</t>
  </si>
  <si>
    <t>End Date</t>
  </si>
  <si>
    <t>Curve</t>
  </si>
  <si>
    <t>1-10000.000</t>
  </si>
  <si>
    <t>1-10001.000</t>
  </si>
  <si>
    <t>1-10130.000</t>
  </si>
  <si>
    <t>1-10160.000</t>
  </si>
  <si>
    <t>1-10180.000</t>
  </si>
  <si>
    <t>1-10210.000</t>
  </si>
  <si>
    <t>1-10230.000</t>
  </si>
  <si>
    <t>1-10250.000</t>
  </si>
  <si>
    <t>1-10260.000</t>
  </si>
  <si>
    <t>City Licenses/Misc Permits</t>
  </si>
  <si>
    <t>1-10310.000</t>
  </si>
  <si>
    <t>Labor</t>
  </si>
  <si>
    <t>1-10320.000</t>
  </si>
  <si>
    <t>1-10330.000</t>
  </si>
  <si>
    <t>1-10340.000</t>
  </si>
  <si>
    <t>1-10410.000</t>
  </si>
  <si>
    <t>1-10420.000</t>
  </si>
  <si>
    <t>1-10430.000</t>
  </si>
  <si>
    <t>1-10510.000</t>
  </si>
  <si>
    <t>1-10610.000</t>
  </si>
  <si>
    <t>Safety Consultant, Visit Bi-Weekly</t>
  </si>
  <si>
    <t>1-11000.000</t>
  </si>
  <si>
    <t>1-11200.000</t>
  </si>
  <si>
    <t>1-11400.000</t>
  </si>
  <si>
    <t>1-11600.000</t>
  </si>
  <si>
    <t>1-14010.000</t>
  </si>
  <si>
    <t>1-15110.000</t>
  </si>
  <si>
    <t>Temp Office and Set up</t>
  </si>
  <si>
    <t>1-15111.000</t>
  </si>
  <si>
    <t>1-15112.000</t>
  </si>
  <si>
    <t>1-15114.000</t>
  </si>
  <si>
    <t>1-15120.000</t>
  </si>
  <si>
    <t>1-15130.000</t>
  </si>
  <si>
    <t>1-15140.000</t>
  </si>
  <si>
    <t>1-15150.000</t>
  </si>
  <si>
    <t>1-15160.000</t>
  </si>
  <si>
    <t>1-15170.000</t>
  </si>
  <si>
    <t>1-15180.000</t>
  </si>
  <si>
    <t>1-15190.000</t>
  </si>
  <si>
    <t>1-16010.000</t>
  </si>
  <si>
    <t>1-16020.000</t>
  </si>
  <si>
    <t>1-17010.000</t>
  </si>
  <si>
    <t>2-23200.000</t>
  </si>
  <si>
    <t>2-24100.000</t>
  </si>
  <si>
    <t>Subcontract</t>
  </si>
  <si>
    <t>2-25100.000</t>
  </si>
  <si>
    <t>2-28213.000</t>
  </si>
  <si>
    <t>2-29005.000</t>
  </si>
  <si>
    <t>2-29010.000</t>
  </si>
  <si>
    <t>Progress Cleaning</t>
  </si>
  <si>
    <t>2-29015.000</t>
  </si>
  <si>
    <t>Safety</t>
  </si>
  <si>
    <t>2-29020.000</t>
  </si>
  <si>
    <t>2-29025.000</t>
  </si>
  <si>
    <t>2-29030.000</t>
  </si>
  <si>
    <t>2-29035.000</t>
  </si>
  <si>
    <t>2-29040.000</t>
  </si>
  <si>
    <t>2-29045.000</t>
  </si>
  <si>
    <t>2-29050.000</t>
  </si>
  <si>
    <t>2-29055.000</t>
  </si>
  <si>
    <t>2-29060.000</t>
  </si>
  <si>
    <t>2-29065.000</t>
  </si>
  <si>
    <t>Construction Permits</t>
  </si>
  <si>
    <t>2-29070.000</t>
  </si>
  <si>
    <t>2-29200.000</t>
  </si>
  <si>
    <t>2-29305.000</t>
  </si>
  <si>
    <t>2-29307.000</t>
  </si>
  <si>
    <t>2-29310.000</t>
  </si>
  <si>
    <t>2-29315.000</t>
  </si>
  <si>
    <t>2-29320.000</t>
  </si>
  <si>
    <t>2-29325.000</t>
  </si>
  <si>
    <t>2-29330.000</t>
  </si>
  <si>
    <t>2-29405.000</t>
  </si>
  <si>
    <t>2-29410.000</t>
  </si>
  <si>
    <t>2-29415.000</t>
  </si>
  <si>
    <t>2-29420.000</t>
  </si>
  <si>
    <t>2-29425.000</t>
  </si>
  <si>
    <t>2-29430.000</t>
  </si>
  <si>
    <t>2-29505.000</t>
  </si>
  <si>
    <t>Const Materials Testing</t>
  </si>
  <si>
    <t>2-29510.000</t>
  </si>
  <si>
    <t>2-29515.000</t>
  </si>
  <si>
    <t>2-29520.000</t>
  </si>
  <si>
    <t>2-29525.000</t>
  </si>
  <si>
    <t>2-29530.000</t>
  </si>
  <si>
    <t>3-30000.000</t>
  </si>
  <si>
    <t>Concrete</t>
  </si>
  <si>
    <t>3-33543.000</t>
  </si>
  <si>
    <t>3-34100.000</t>
  </si>
  <si>
    <t>3-34500.000</t>
  </si>
  <si>
    <t>3-35413.000</t>
  </si>
  <si>
    <t>Gypcrete</t>
  </si>
  <si>
    <t>4-40000.000</t>
  </si>
  <si>
    <t>5-51200.000</t>
  </si>
  <si>
    <t>Structural Steel</t>
  </si>
  <si>
    <t>5-55000.000</t>
  </si>
  <si>
    <t>5-57210.000</t>
  </si>
  <si>
    <t>Aluminum Deck and Railings</t>
  </si>
  <si>
    <t>6-61000.000</t>
  </si>
  <si>
    <t>Rough Carpentry Material</t>
  </si>
  <si>
    <t>6-61010.000</t>
  </si>
  <si>
    <t>6-61710.000</t>
  </si>
  <si>
    <t>6-61753.000</t>
  </si>
  <si>
    <t>Wood Trusses</t>
  </si>
  <si>
    <t>6-61800.000</t>
  </si>
  <si>
    <t>6-62000.000</t>
  </si>
  <si>
    <t>6-62200.000</t>
  </si>
  <si>
    <t>6-64100.000</t>
  </si>
  <si>
    <t>Architectural Casework &amp; Millwork</t>
  </si>
  <si>
    <t>6-66113.000</t>
  </si>
  <si>
    <t>Cultured Marble Fabrication</t>
  </si>
  <si>
    <t>6-66116.000</t>
  </si>
  <si>
    <t>Solid Surfacing and Ctops</t>
  </si>
  <si>
    <t>6-67300.000</t>
  </si>
  <si>
    <t>6-68316.000</t>
  </si>
  <si>
    <t>6-68700.000</t>
  </si>
  <si>
    <t>7-71000.000</t>
  </si>
  <si>
    <t>7-71413.000</t>
  </si>
  <si>
    <t>Hot Fluid Applied Waterproofing</t>
  </si>
  <si>
    <t>7-71800.000</t>
  </si>
  <si>
    <t>7-72100.000</t>
  </si>
  <si>
    <t>7-72400.000</t>
  </si>
  <si>
    <t>7-72500.000</t>
  </si>
  <si>
    <t>7-72700.000</t>
  </si>
  <si>
    <t>7-73113.000</t>
  </si>
  <si>
    <t>7-74213.000</t>
  </si>
  <si>
    <t>7-74600.000</t>
  </si>
  <si>
    <t>7-75000.000</t>
  </si>
  <si>
    <t>7-76100.000</t>
  </si>
  <si>
    <t>7-76200.000</t>
  </si>
  <si>
    <t>Sheet Metal Flashing and Trim</t>
  </si>
  <si>
    <t>7-77600.000</t>
  </si>
  <si>
    <t>7-78100.000</t>
  </si>
  <si>
    <t>Applied Fireproofing</t>
  </si>
  <si>
    <t>7-78400.000</t>
  </si>
  <si>
    <t>7-79200.000</t>
  </si>
  <si>
    <t>7-79500.000</t>
  </si>
  <si>
    <t>8-81000.000</t>
  </si>
  <si>
    <t>Doors, Frames, Hardware</t>
  </si>
  <si>
    <t>8-83000.000</t>
  </si>
  <si>
    <t>8-83113.000</t>
  </si>
  <si>
    <t>8-83613.000</t>
  </si>
  <si>
    <t>8-84000.000</t>
  </si>
  <si>
    <t>8-84400.000</t>
  </si>
  <si>
    <t>Curtain Wall</t>
  </si>
  <si>
    <t>8-85113.000</t>
  </si>
  <si>
    <t>8-85413.000</t>
  </si>
  <si>
    <t>8-86000.000</t>
  </si>
  <si>
    <t>8-88000.000</t>
  </si>
  <si>
    <t>8-88330.000</t>
  </si>
  <si>
    <t>8-88700.000</t>
  </si>
  <si>
    <t>8-89000.000</t>
  </si>
  <si>
    <t>9-92116.000</t>
  </si>
  <si>
    <t>9-92216.000</t>
  </si>
  <si>
    <t>9-93000.000</t>
  </si>
  <si>
    <t>9-95123.000</t>
  </si>
  <si>
    <t>Acoustical Tile Ceilings</t>
  </si>
  <si>
    <t>9-96400.000</t>
  </si>
  <si>
    <t>9-96500.000</t>
  </si>
  <si>
    <t>9-96600.000</t>
  </si>
  <si>
    <t>9-96800.000</t>
  </si>
  <si>
    <t>9-97200.000</t>
  </si>
  <si>
    <t>9-99000.000</t>
  </si>
  <si>
    <t>Painting and Coating</t>
  </si>
  <si>
    <t>9-99646.000</t>
  </si>
  <si>
    <t>9-99656.000</t>
  </si>
  <si>
    <t>10-100000.000</t>
  </si>
  <si>
    <t>10-101400.000</t>
  </si>
  <si>
    <t>10-101453.000</t>
  </si>
  <si>
    <t>10-102113.000</t>
  </si>
  <si>
    <t>Equipment</t>
  </si>
  <si>
    <t>10-102213.000</t>
  </si>
  <si>
    <t>10-102226.000</t>
  </si>
  <si>
    <t>10-102600.000</t>
  </si>
  <si>
    <t>10-102800.000</t>
  </si>
  <si>
    <t>10-102819.000</t>
  </si>
  <si>
    <t>10-103100.000</t>
  </si>
  <si>
    <t>10-103110.000</t>
  </si>
  <si>
    <t>10-104413.000</t>
  </si>
  <si>
    <t>10-105100.000</t>
  </si>
  <si>
    <t>10-105500.000</t>
  </si>
  <si>
    <t>10-105623.000</t>
  </si>
  <si>
    <t>10-107313.000</t>
  </si>
  <si>
    <t>10-107500.000</t>
  </si>
  <si>
    <t>10-109000.000</t>
  </si>
  <si>
    <t>11-111313.000</t>
  </si>
  <si>
    <t>Loading Dock Equipment</t>
  </si>
  <si>
    <t>11-112423.000</t>
  </si>
  <si>
    <t>11-113100.000</t>
  </si>
  <si>
    <t>11-113110.000</t>
  </si>
  <si>
    <t>11-114000.000</t>
  </si>
  <si>
    <t>11-116700.000</t>
  </si>
  <si>
    <t>11-118216.000</t>
  </si>
  <si>
    <t>12-122000.000</t>
  </si>
  <si>
    <t>12-123530.000</t>
  </si>
  <si>
    <t>Residential Casework</t>
  </si>
  <si>
    <t>12-123640.000</t>
  </si>
  <si>
    <t>12-123663.000</t>
  </si>
  <si>
    <t>12-124000.000</t>
  </si>
  <si>
    <t>12-124813.000</t>
  </si>
  <si>
    <t>12-129313.000</t>
  </si>
  <si>
    <t>13-131100.000</t>
  </si>
  <si>
    <t>Swimming Pools and Spas</t>
  </si>
  <si>
    <t>13-131900.000</t>
  </si>
  <si>
    <t>13-132416.000</t>
  </si>
  <si>
    <t>13-133418.000</t>
  </si>
  <si>
    <t>14-140000.000</t>
  </si>
  <si>
    <t>14-142000.000</t>
  </si>
  <si>
    <t>14-144200.000</t>
  </si>
  <si>
    <t>14-149182.000</t>
  </si>
  <si>
    <t>Trash Chutes</t>
  </si>
  <si>
    <t>21-210000.000</t>
  </si>
  <si>
    <t>Fire Suppression</t>
  </si>
  <si>
    <t>22-220000.000</t>
  </si>
  <si>
    <t>23-230000.000</t>
  </si>
  <si>
    <t>HVAC</t>
  </si>
  <si>
    <t>26-260000.000</t>
  </si>
  <si>
    <t>27-272000.000</t>
  </si>
  <si>
    <t>27-274000.000</t>
  </si>
  <si>
    <t>Audio Video Communications</t>
  </si>
  <si>
    <t>28-281300.000</t>
  </si>
  <si>
    <t>28-283000.000</t>
  </si>
  <si>
    <t>28-284600.000</t>
  </si>
  <si>
    <t>Fire Detection and Alarm</t>
  </si>
  <si>
    <t>28-289010.000</t>
  </si>
  <si>
    <t>31-310000.000</t>
  </si>
  <si>
    <t>31-312113.000</t>
  </si>
  <si>
    <t>31-312500.000</t>
  </si>
  <si>
    <t>31-314000.000</t>
  </si>
  <si>
    <t>31-316000.000</t>
  </si>
  <si>
    <t>Piles, Piers and Caissons</t>
  </si>
  <si>
    <t>32-321216.000</t>
  </si>
  <si>
    <t>32-321313.000</t>
  </si>
  <si>
    <t>32-321316.000</t>
  </si>
  <si>
    <t>32-321343.000</t>
  </si>
  <si>
    <t>32-321400.000</t>
  </si>
  <si>
    <t>32-321613.000</t>
  </si>
  <si>
    <t>32-321700.000</t>
  </si>
  <si>
    <t>32-321813.000</t>
  </si>
  <si>
    <t>32-323100.000</t>
  </si>
  <si>
    <t>32-323200.000</t>
  </si>
  <si>
    <t>32-329000.000</t>
  </si>
  <si>
    <t>Landscaping and Irrigation</t>
  </si>
  <si>
    <t>33-330000.000</t>
  </si>
  <si>
    <t>50-502000.000</t>
  </si>
  <si>
    <t>60-601000.000</t>
  </si>
  <si>
    <t>60-601005.000</t>
  </si>
  <si>
    <t>60-602010.000</t>
  </si>
  <si>
    <t>60-602015.000</t>
  </si>
  <si>
    <t>60-602020.000</t>
  </si>
  <si>
    <t>60-602025.000</t>
  </si>
  <si>
    <t>60-604000.000</t>
  </si>
  <si>
    <t>80-800001.000</t>
  </si>
  <si>
    <t>Miscellaneous 1</t>
  </si>
  <si>
    <t>Cost Code Description</t>
  </si>
  <si>
    <t>Cost Type Description</t>
  </si>
  <si>
    <t>BLI UOM</t>
  </si>
  <si>
    <t>BPQ UOM</t>
  </si>
  <si>
    <t>BOOLEAN</t>
  </si>
  <si>
    <t>days</t>
  </si>
  <si>
    <t>True</t>
  </si>
  <si>
    <t>hours</t>
  </si>
  <si>
    <t>False</t>
  </si>
  <si>
    <t>months</t>
  </si>
  <si>
    <t>Other</t>
  </si>
  <si>
    <t>weeks</t>
  </si>
  <si>
    <t>m</t>
  </si>
  <si>
    <t>years</t>
  </si>
  <si>
    <t>mm</t>
  </si>
  <si>
    <t>User Def Type 6</t>
  </si>
  <si>
    <t>m²</t>
  </si>
  <si>
    <t>User Def Type 7</t>
  </si>
  <si>
    <t>User Def Type 8</t>
  </si>
  <si>
    <t>User Def Type 9</t>
  </si>
  <si>
    <t>m³</t>
  </si>
  <si>
    <t>kg</t>
  </si>
  <si>
    <t>lbs</t>
  </si>
  <si>
    <t>t</t>
  </si>
  <si>
    <t>ton</t>
  </si>
  <si>
    <t>1-10440.000</t>
  </si>
  <si>
    <t>General Labor</t>
  </si>
  <si>
    <t>2-20000.000</t>
  </si>
  <si>
    <t>2-29406.000</t>
  </si>
  <si>
    <t>6-66119.000</t>
  </si>
  <si>
    <t>Quartz Surface</t>
  </si>
  <si>
    <t>8-87000.000</t>
  </si>
  <si>
    <t>Hardware</t>
  </si>
  <si>
    <t>11-110000.000</t>
  </si>
  <si>
    <t>60-605000.000</t>
  </si>
  <si>
    <t>Miscellaneous</t>
  </si>
  <si>
    <t>Project #</t>
  </si>
  <si>
    <t>Proejct Cost Subtotal</t>
  </si>
  <si>
    <t>General Conditions Total</t>
  </si>
  <si>
    <t>Attn: Cliten Name</t>
  </si>
  <si>
    <t>Project:</t>
  </si>
  <si>
    <t>FEE</t>
  </si>
  <si>
    <t>Company Name</t>
  </si>
  <si>
    <t>GCs as % of Project Cost</t>
  </si>
  <si>
    <t>Address:</t>
  </si>
  <si>
    <t>True Value</t>
  </si>
  <si>
    <t>Dumpsters (two per month)</t>
  </si>
  <si>
    <t>General Conditions Subtotal</t>
  </si>
  <si>
    <t>Division 02 - Site Requirments and Operation</t>
  </si>
  <si>
    <t>Site Operation Subtotal</t>
  </si>
  <si>
    <t>Survey and Layour Subtotal</t>
  </si>
  <si>
    <t>Site Requirments Subtotal</t>
  </si>
  <si>
    <t>Site Equipment Subtotal</t>
  </si>
  <si>
    <t>Special Inspections Subtotal</t>
  </si>
  <si>
    <t>Division 02 Total</t>
  </si>
  <si>
    <t>Division 03 - Concrete</t>
  </si>
  <si>
    <t>Concrete Subtotal</t>
  </si>
  <si>
    <t>Polished Concrete Subtotal</t>
  </si>
  <si>
    <t>Precast Concrete Subtotal</t>
  </si>
  <si>
    <t>Gypsum Cement Underlayment Subtotal</t>
  </si>
  <si>
    <t>Division 03 Total</t>
  </si>
  <si>
    <t>Division 04 - Masonry</t>
  </si>
  <si>
    <t>Masonry - Cmu Backup Around Building</t>
  </si>
  <si>
    <t>Masonry - Cmu In Garage</t>
  </si>
  <si>
    <t>Masonry Subtotal</t>
  </si>
  <si>
    <t>Division 04 Total</t>
  </si>
  <si>
    <t>Division 05 - Metals</t>
  </si>
  <si>
    <t>Aluminum Railings</t>
  </si>
  <si>
    <t>Metals Subtotal</t>
  </si>
  <si>
    <t>Division 05 Total</t>
  </si>
  <si>
    <t>Division 06 - Wood, Plastic, Laminets</t>
  </si>
  <si>
    <t>Loose Lumber And Roof Joists</t>
  </si>
  <si>
    <t>Rough Carpentry Subtotal</t>
  </si>
  <si>
    <t>Finish Carpentry (Included Cabs)</t>
  </si>
  <si>
    <t>Architectural Casework And Millwork</t>
  </si>
  <si>
    <t>Frp Wall Paneling</t>
  </si>
  <si>
    <t>Finish Carpentry Subtotal</t>
  </si>
  <si>
    <t>Pergola and Decking Subtotal</t>
  </si>
  <si>
    <t>Division 06 Total</t>
  </si>
  <si>
    <t>Division 07 - Thermal and Moisture Protection</t>
  </si>
  <si>
    <t>Includes 2" Insulation</t>
  </si>
  <si>
    <t>Restaurant Patio</t>
  </si>
  <si>
    <t>Thermal &amp; Moisture Protection Subtotal</t>
  </si>
  <si>
    <t>Thermal Protection Subtotal</t>
  </si>
  <si>
    <t>Asphalt Shingles Subtotal</t>
  </si>
  <si>
    <t>Siding / Metal Wall Panels Subtotal</t>
  </si>
  <si>
    <t>Roofing Subtotal</t>
  </si>
  <si>
    <t>Fire Proofing / Joint Sealants Subtotal</t>
  </si>
  <si>
    <t>Division 07 Total</t>
  </si>
  <si>
    <t xml:space="preserve"> Division 08 - Openings</t>
  </si>
  <si>
    <t>Doors, Frames And Hardware</t>
  </si>
  <si>
    <t>Specialty Doors And Frames</t>
  </si>
  <si>
    <t>Access Doors &amp; Panels</t>
  </si>
  <si>
    <t>Overhead And Coiling Doors</t>
  </si>
  <si>
    <t>Openings Subtotal</t>
  </si>
  <si>
    <t>Aluminum Entrances &amp; Storefront</t>
  </si>
  <si>
    <t>Aluminum Framed Enterances &amp;Sf Subtotal</t>
  </si>
  <si>
    <t>Curtain Wall &amp; Glazed Assem. Subtotal</t>
  </si>
  <si>
    <t>Aluminum Windows And Patio Doors</t>
  </si>
  <si>
    <t>Windows &amp; Patio Doors</t>
  </si>
  <si>
    <t>Windows &amp; Patio Doors - Installation</t>
  </si>
  <si>
    <t>Windows Subtotal</t>
  </si>
  <si>
    <t>Glazing Subtotal</t>
  </si>
  <si>
    <t>Division 08 Total</t>
  </si>
  <si>
    <t>Division 09 - Finishes</t>
  </si>
  <si>
    <t>Gypsum Drywall</t>
  </si>
  <si>
    <t>Gypsum Board Subtotal</t>
  </si>
  <si>
    <t>Tile Subtotal</t>
  </si>
  <si>
    <t>Acoustical Ceiling Subtotal</t>
  </si>
  <si>
    <t>Wood Flooring Subtotal</t>
  </si>
  <si>
    <t>Resilient Flooring Subtotal</t>
  </si>
  <si>
    <t>Terrazzo Flooring Subtotal</t>
  </si>
  <si>
    <t>Misc Carpeting - Commons</t>
  </si>
  <si>
    <t>Carpeting Subtotal</t>
  </si>
  <si>
    <t>Wall Coverings Subtotal</t>
  </si>
  <si>
    <t>Painting Subtotal</t>
  </si>
  <si>
    <t>Epoxy Flooring Subtotal</t>
  </si>
  <si>
    <t>Division 09 Total</t>
  </si>
  <si>
    <t>Division 10 - Specialties</t>
  </si>
  <si>
    <t>Signage - Exterior Building Sign, Retail, Restaurant</t>
  </si>
  <si>
    <t>Toilet Compartments</t>
  </si>
  <si>
    <t>Wall &amp; Door Protection</t>
  </si>
  <si>
    <t>Toilet &amp; Bath Accessories</t>
  </si>
  <si>
    <t>Tub &amp; Shower Doors</t>
  </si>
  <si>
    <t>Fire Extinguishers &amp; Cabinets</t>
  </si>
  <si>
    <t>Awnings &amp; Canopies</t>
  </si>
  <si>
    <t>Specialties Subtotal</t>
  </si>
  <si>
    <t>Division 10 Total</t>
  </si>
  <si>
    <t>Division 11 - Equipment</t>
  </si>
  <si>
    <t>Equipment Subtotal</t>
  </si>
  <si>
    <t>Division 11 Total</t>
  </si>
  <si>
    <t>Division 12 - Furnishing</t>
  </si>
  <si>
    <t>Residential Casework - M</t>
  </si>
  <si>
    <t>Furnishings And Accessories</t>
  </si>
  <si>
    <t>Entrance Floor Mats &amp; Frames</t>
  </si>
  <si>
    <t>Bike Equipment &amp; Racks</t>
  </si>
  <si>
    <t>Furnishings Subtotal</t>
  </si>
  <si>
    <t>Division 12 Total</t>
  </si>
  <si>
    <t>Division 13 - Special Construction</t>
  </si>
  <si>
    <t>Special Construction Subtotal</t>
  </si>
  <si>
    <t>Division 13 Total</t>
  </si>
  <si>
    <t>Division 14 - Conveying Equipment</t>
  </si>
  <si>
    <t>Coneying Equipment</t>
  </si>
  <si>
    <t>stops</t>
  </si>
  <si>
    <t>Conveying Systems Subtotal</t>
  </si>
  <si>
    <t>Division 14 Total</t>
  </si>
  <si>
    <t>Division 21 - Fire Suppression</t>
  </si>
  <si>
    <t>Fire Suppression Subtotal</t>
  </si>
  <si>
    <t>Division 21 Total</t>
  </si>
  <si>
    <t>Division 22 - Plumbing</t>
  </si>
  <si>
    <t xml:space="preserve">Plumbing Subtotal </t>
  </si>
  <si>
    <t>Division 22 Total</t>
  </si>
  <si>
    <t>Division 23 - HVAC</t>
  </si>
  <si>
    <t>Hvac</t>
  </si>
  <si>
    <t>Hvac - Misc</t>
  </si>
  <si>
    <t>HVAC Subtotal</t>
  </si>
  <si>
    <t>Division 23 Total</t>
  </si>
  <si>
    <t>Division 26 - Electrical</t>
  </si>
  <si>
    <t>Electrical - Misc</t>
  </si>
  <si>
    <t>Electrical Subtotal</t>
  </si>
  <si>
    <t>Division 26 Total</t>
  </si>
  <si>
    <t>Division 27 - Communications</t>
  </si>
  <si>
    <t>Communications Subtotal</t>
  </si>
  <si>
    <t>Division 27 Total</t>
  </si>
  <si>
    <t xml:space="preserve"> Division 28 - Electronic Safety And Security</t>
  </si>
  <si>
    <t>Electronic Safety And Security Subtotal</t>
  </si>
  <si>
    <t>Division 28 Total</t>
  </si>
  <si>
    <t>Division 31 - Earthwork</t>
  </si>
  <si>
    <t>Earthwork Subtotal</t>
  </si>
  <si>
    <t>Divison 31 Total</t>
  </si>
  <si>
    <t xml:space="preserve"> Division 32 - Exterior Improvements</t>
  </si>
  <si>
    <t>Asphalt Paving - Light Duty ($40-67/Sy)</t>
  </si>
  <si>
    <t>Fences &amp; Gates</t>
  </si>
  <si>
    <t>Exterior Improvements Subtotal</t>
  </si>
  <si>
    <t>Division 32 Total</t>
  </si>
  <si>
    <t>Division 33 - Utilities</t>
  </si>
  <si>
    <t>Storm</t>
  </si>
  <si>
    <t>Utilities Subtotal</t>
  </si>
  <si>
    <t>Division 33 Total</t>
  </si>
  <si>
    <t>Division 50 - Winter Conditions</t>
  </si>
  <si>
    <t>Winter Conditions Subtotal</t>
  </si>
  <si>
    <t>Division 50 Total</t>
  </si>
  <si>
    <t>Project Subtotals</t>
  </si>
  <si>
    <t>Project Cost Subtotal</t>
  </si>
  <si>
    <t>Subtotal Project Cost</t>
  </si>
  <si>
    <t>Division 60 - Contigency, Fee, Insurances</t>
  </si>
  <si>
    <t>Contigency, Fee, Insurances Subtotal</t>
  </si>
  <si>
    <t>Division 60 Total</t>
  </si>
  <si>
    <t>Project Totals</t>
  </si>
  <si>
    <t>Total Project Cost</t>
  </si>
  <si>
    <t>Project Sqft</t>
  </si>
  <si>
    <t>Cost Per Sqft</t>
  </si>
  <si>
    <t>Division 02 - General Conditions</t>
  </si>
  <si>
    <t>Division 01 Total</t>
  </si>
  <si>
    <t>Total Sqft:</t>
  </si>
  <si>
    <t>Duration Months:</t>
  </si>
  <si>
    <t>Total of Estimate</t>
  </si>
  <si>
    <t>Cost/Sqft</t>
  </si>
  <si>
    <t>Months x Superintendent Utilization rate x 500</t>
  </si>
  <si>
    <t>Months x Superintendent Utilization rate x 1000</t>
  </si>
  <si>
    <t>Based on standard 4.5% for comparison. Supervision &amp;General Conditions. Big descrepency, see John or Calvin.</t>
  </si>
  <si>
    <t>Sum of Estimate Total x .045</t>
  </si>
  <si>
    <t>Original Value</t>
  </si>
  <si>
    <t>Division 02 Subtotal</t>
  </si>
  <si>
    <t>Division 3 Subtotal</t>
  </si>
  <si>
    <t>Division 4 Subtotal</t>
  </si>
  <si>
    <t>Division 5 Subtotal</t>
  </si>
  <si>
    <t>Division 6 Subtotal</t>
  </si>
  <si>
    <t>Division 7 Subtotal</t>
  </si>
  <si>
    <t>Division 8 Subtotal</t>
  </si>
  <si>
    <t>Division 9 Subtotal</t>
  </si>
  <si>
    <t>Division 10 Subtotal</t>
  </si>
  <si>
    <t>Division 11 Subtotal</t>
  </si>
  <si>
    <t>Division 12 Subtotal</t>
  </si>
  <si>
    <t>Division 13 Subtotal</t>
  </si>
  <si>
    <t>Division 14 Subtotal</t>
  </si>
  <si>
    <t>Division 21 Subtotal</t>
  </si>
  <si>
    <t>Division 22 Subtotal</t>
  </si>
  <si>
    <t>Division 23 Subtotal</t>
  </si>
  <si>
    <t>Division 26 Subtotal</t>
  </si>
  <si>
    <t>Division 27 Subtotal</t>
  </si>
  <si>
    <t>Division 28 Subtotal</t>
  </si>
  <si>
    <t>Divison 31 Subtotal</t>
  </si>
  <si>
    <t>Division 32 Subtotal</t>
  </si>
  <si>
    <t>Division 33 Subtotal</t>
  </si>
  <si>
    <t>Division 50 Subtotal</t>
  </si>
  <si>
    <t>Division 60 Subtotal</t>
  </si>
  <si>
    <t>Division 2 Subtotal</t>
  </si>
  <si>
    <t>Acoustical Ceiling</t>
  </si>
  <si>
    <t/>
  </si>
  <si>
    <t>Division 07 - Thermal &amp; Moisture Protection</t>
  </si>
  <si>
    <t>Thermal Protection</t>
  </si>
  <si>
    <t>Siding / Metal Wall Panels</t>
  </si>
  <si>
    <t>Roofing</t>
  </si>
  <si>
    <t>Fire Proofing / Joint Sealants</t>
  </si>
  <si>
    <t>Aluminum-Framed Entrances &amp; Storefront</t>
  </si>
  <si>
    <t>Curtain Wall &amp; Glazed Assemblies</t>
  </si>
  <si>
    <t>Windows</t>
  </si>
  <si>
    <t xml:space="preserve">Gypsum Board  </t>
  </si>
  <si>
    <t>Conveying Systems Subtotal`</t>
  </si>
  <si>
    <t>Hvac Subtotal</t>
  </si>
  <si>
    <t>Cost Code Level 1</t>
  </si>
  <si>
    <t>Cost Code Level 2</t>
  </si>
  <si>
    <t>Cost Code Level 3</t>
  </si>
  <si>
    <t>Cost Code Level 4</t>
  </si>
  <si>
    <t>Cost Code Level 5</t>
  </si>
  <si>
    <t>Division 01 - General Conditions</t>
  </si>
  <si>
    <t>Division 02 - Site Conditions</t>
  </si>
  <si>
    <t>3-33000.000</t>
  </si>
  <si>
    <t>Cast in Place Concrete</t>
  </si>
  <si>
    <t>3-38000.000</t>
  </si>
  <si>
    <t>Concrete Cutting and Coring</t>
  </si>
  <si>
    <t>3-38100.000</t>
  </si>
  <si>
    <t>Sawcutting</t>
  </si>
  <si>
    <t>Division 06 - Wood, Plastics,</t>
  </si>
  <si>
    <t>Division 07 - Thermal and Mois</t>
  </si>
  <si>
    <t>7-76000.000</t>
  </si>
  <si>
    <t>Division 08 - Openings</t>
  </si>
  <si>
    <t>Division 12 - Furnishings</t>
  </si>
  <si>
    <t>Division 13 - Special Construc</t>
  </si>
  <si>
    <t>Division 14 - Conveying Equipm</t>
  </si>
  <si>
    <t>Division 23 - Heating, Ventila</t>
  </si>
  <si>
    <t>Divison 25 - Integrated Automa</t>
  </si>
  <si>
    <t>Division 28 - Electronic Safet</t>
  </si>
  <si>
    <t>31-312316.000</t>
  </si>
  <si>
    <t>Excavation</t>
  </si>
  <si>
    <t>31-314300.000</t>
  </si>
  <si>
    <t>Concrete Raising</t>
  </si>
  <si>
    <t>Division 32 - Exterior Improve</t>
  </si>
  <si>
    <t>32-321416.000</t>
  </si>
  <si>
    <t>Brick Unit Paving</t>
  </si>
  <si>
    <t>Division 34 - Transportation</t>
  </si>
  <si>
    <t>Division 35 - Waterway and Mar</t>
  </si>
  <si>
    <t>Division 40 - Process Integrat</t>
  </si>
  <si>
    <t>Division 41 - Material Process</t>
  </si>
  <si>
    <t>Division 42 - Process Heating,</t>
  </si>
  <si>
    <t>Division 43 - Process Gas and</t>
  </si>
  <si>
    <t>Division 44 - Pollution and Wa</t>
  </si>
  <si>
    <t>Division 45 - Industry Specifi</t>
  </si>
  <si>
    <t>Division 46 - Water and Wastew</t>
  </si>
  <si>
    <t>Division 48 - Electrical Power</t>
  </si>
  <si>
    <t>Division 60 - Contingency, Fee, Insurance</t>
  </si>
  <si>
    <t>Division 80 - Miscellaneous</t>
  </si>
  <si>
    <t>80-800002.000</t>
  </si>
  <si>
    <t>Miscellaneous 2</t>
  </si>
  <si>
    <t>80-800003.000</t>
  </si>
  <si>
    <t>Miscellaneous 3</t>
  </si>
  <si>
    <t>80-800004.000</t>
  </si>
  <si>
    <t>Miscellaneous 4</t>
  </si>
  <si>
    <t>80-800005.000</t>
  </si>
  <si>
    <t>Miscellaneous 5</t>
  </si>
  <si>
    <t>80-800006.000</t>
  </si>
  <si>
    <t>Miscellaneous 6</t>
  </si>
  <si>
    <t>80-800007.000</t>
  </si>
  <si>
    <t>Miscellaneous 7</t>
  </si>
  <si>
    <t>80-800008.000</t>
  </si>
  <si>
    <t>Miscellaneous 8</t>
  </si>
  <si>
    <t>80-800009.000</t>
  </si>
  <si>
    <t>Miscellaneous 9</t>
  </si>
  <si>
    <t>80-800010.000</t>
  </si>
  <si>
    <t>Miscellaneous 10</t>
  </si>
  <si>
    <t>Dark Blue: #333F4F</t>
  </si>
  <si>
    <t>Deep Dark Red #710E23</t>
  </si>
  <si>
    <t>Mid Blue: #8497B0</t>
  </si>
  <si>
    <t>Grey #A8A9AD</t>
  </si>
  <si>
    <t>Light Blue: #D6DCE4</t>
  </si>
  <si>
    <t>Black #000000</t>
  </si>
  <si>
    <t>Dark Grey: #D9D9D9</t>
  </si>
  <si>
    <t>Charcoal Gray #36454F</t>
  </si>
  <si>
    <t>Light Grey: #F2F2F2</t>
  </si>
  <si>
    <t>Slate Blue #6A5ACD</t>
  </si>
  <si>
    <t>Olive Drab #6B8E23</t>
  </si>
  <si>
    <t>Dark Slate Gray #2F4F4F</t>
  </si>
  <si>
    <t>Deep Burgundy #800020</t>
  </si>
  <si>
    <t>Gunmetal Gray #2A3439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</si>
</sst>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%"/>
    <numFmt numFmtId="166" formatCode="0.000"/>
    <numFmt numFmtId="167" formatCode="&quot;$&quot;#,##0.000_);\(&quot;$&quot;#,##0.000\)"/>
    <numFmt numFmtId="168" formatCode="#,##0.000"/>
  </numFmts>
  <fonts count="38" x14ac:knownFonts="1">
    <font>
      <sz val="10"/>
      <color theme="1"/>
      <name val="Century Gothic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8"/>
      <color theme="1"/>
      <name val="Century Gothic"/>
      <family val="2"/>
    </font>
    <font>
      <b/>
      <i/>
      <sz val="10"/>
      <color theme="1"/>
      <name val="Century Gothic"/>
      <family val="2"/>
    </font>
    <font>
      <sz val="10"/>
      <color theme="0"/>
      <name val="Century Gothic"/>
      <family val="2"/>
    </font>
    <font>
      <sz val="11"/>
      <color theme="1"/>
      <name val="Calibri"/>
      <family val="2"/>
    </font>
    <font>
      <b/>
      <sz val="11"/>
      <color theme="0"/>
      <name val="Century Gothic"/>
      <family val="2"/>
    </font>
    <font>
      <b/>
      <i/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0"/>
      <name val="Century Gothic"/>
      <family val="2"/>
    </font>
    <font>
      <sz val="10"/>
      <color rgb="FF000000"/>
      <name val="Century Gothic"/>
      <family val="2"/>
    </font>
    <font>
      <b/>
      <sz val="10"/>
      <name val="Century Gothic"/>
      <family val="2"/>
    </font>
    <font>
      <b/>
      <sz val="12"/>
      <color theme="1"/>
      <name val="Century Gothic"/>
      <family val="2"/>
    </font>
    <font>
      <b/>
      <sz val="14"/>
      <color theme="0"/>
      <name val="Century Gothic"/>
      <family val="2"/>
    </font>
    <font>
      <b/>
      <i/>
      <sz val="12"/>
      <color theme="1"/>
      <name val="Century Gothic"/>
      <family val="2"/>
    </font>
    <font>
      <b/>
      <sz val="14"/>
      <color theme="1"/>
      <name val="Century Gothic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sz val="14"/>
      <color theme="1"/>
      <name val="Century Gothic"/>
      <family val="2"/>
    </font>
    <font>
      <b/>
      <sz val="12"/>
      <color theme="0"/>
      <name val="Aptos Narrow"/>
      <family val="2"/>
      <scheme val="minor"/>
    </font>
    <font>
      <sz val="11"/>
      <name val="Arial"/>
      <family val="1"/>
    </font>
    <font>
      <sz val="14"/>
      <color theme="0"/>
      <name val="Century Gothic"/>
      <family val="2"/>
    </font>
    <font>
      <sz val="12"/>
      <color theme="0"/>
      <name val="Century Gothic"/>
      <family val="2"/>
    </font>
    <font>
      <sz val="12"/>
      <color theme="1"/>
      <name val="Century Gothic"/>
      <family val="2"/>
    </font>
    <font>
      <b/>
      <sz val="13"/>
      <name val="Century Gothic"/>
      <family val="2"/>
    </font>
    <font>
      <sz val="13"/>
      <color theme="1"/>
      <name val="Century Gothic"/>
      <family val="2"/>
    </font>
    <font>
      <b/>
      <sz val="13"/>
      <color theme="1"/>
      <name val="Century Gothic"/>
      <family val="2"/>
    </font>
    <font>
      <sz val="10"/>
      <name val="Century Gothic"/>
      <family val="2"/>
    </font>
    <font>
      <b/>
      <sz val="13"/>
      <color theme="0"/>
      <name val="Century Gothic"/>
      <family val="2"/>
    </font>
    <font>
      <i/>
      <sz val="11"/>
      <color theme="1"/>
      <name val="Century Gothic"/>
      <family val="2"/>
    </font>
    <font>
      <sz val="10"/>
      <name val="Arial"/>
      <family val="2"/>
    </font>
    <font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333F4F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8A9AD"/>
        <bgColor indexed="64"/>
      </patternFill>
    </fill>
    <fill>
      <patternFill patternType="solid">
        <fgColor rgb="FF710E2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6454F"/>
        <bgColor indexed="64"/>
      </patternFill>
    </fill>
    <fill>
      <patternFill patternType="solid">
        <fgColor rgb="FF6A5ACD"/>
        <bgColor indexed="64"/>
      </patternFill>
    </fill>
    <fill>
      <patternFill patternType="solid">
        <fgColor rgb="FF6B8E23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800020"/>
        <bgColor indexed="64"/>
      </patternFill>
    </fill>
    <fill>
      <patternFill patternType="solid">
        <fgColor rgb="FF2A343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FBB73"/>
        <bgColor indexed="64"/>
      </patternFill>
    </fill>
    <fill>
      <patternFill patternType="solid">
        <fgColor theme="5" tint="0.599963377788628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6" fillId="0" borderId="0"/>
    <xf numFmtId="0" fontId="36" fillId="0" borderId="0"/>
    <xf numFmtId="44" fontId="37" fillId="0" borderId="0" applyFont="0" applyFill="0" applyBorder="0" applyAlignment="0" applyProtection="0"/>
    <xf numFmtId="0" fontId="37" fillId="0" borderId="0"/>
    <xf numFmtId="9" fontId="6" fillId="19" borderId="1">
      <alignment horizontal="center"/>
      <protection locked="0"/>
    </xf>
    <xf numFmtId="0" fontId="4" fillId="0" borderId="0"/>
    <xf numFmtId="0" fontId="3" fillId="0" borderId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29">
    <xf numFmtId="0" fontId="0" fillId="0" borderId="0" xfId="0"/>
    <xf numFmtId="2" fontId="0" fillId="0" borderId="0" xfId="0" applyNumberFormat="1"/>
    <xf numFmtId="0" fontId="0" fillId="0" borderId="1" xfId="0" applyBorder="1"/>
    <xf numFmtId="164" fontId="0" fillId="0" borderId="1" xfId="1" applyNumberFormat="1" applyFont="1" applyBorder="1"/>
    <xf numFmtId="0" fontId="7" fillId="0" borderId="0" xfId="0" applyFont="1"/>
    <xf numFmtId="165" fontId="0" fillId="0" borderId="0" xfId="2" applyNumberFormat="1" applyFont="1"/>
    <xf numFmtId="9" fontId="0" fillId="0" borderId="1" xfId="2" applyFont="1" applyBorder="1" applyAlignment="1">
      <alignment horizontal="center"/>
    </xf>
    <xf numFmtId="0" fontId="10" fillId="2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0" fillId="0" borderId="5" xfId="0" applyBorder="1"/>
    <xf numFmtId="0" fontId="0" fillId="0" borderId="6" xfId="0" applyBorder="1"/>
    <xf numFmtId="0" fontId="0" fillId="4" borderId="1" xfId="0" applyFill="1" applyBorder="1"/>
    <xf numFmtId="0" fontId="0" fillId="4" borderId="6" xfId="0" applyFill="1" applyBorder="1"/>
    <xf numFmtId="0" fontId="9" fillId="2" borderId="15" xfId="0" applyFont="1" applyFill="1" applyBorder="1"/>
    <xf numFmtId="166" fontId="0" fillId="0" borderId="2" xfId="0" applyNumberFormat="1" applyBorder="1"/>
    <xf numFmtId="166" fontId="0" fillId="0" borderId="1" xfId="0" applyNumberFormat="1" applyBorder="1"/>
    <xf numFmtId="7" fontId="0" fillId="0" borderId="1" xfId="1" applyNumberFormat="1" applyFont="1" applyBorder="1"/>
    <xf numFmtId="0" fontId="0" fillId="2" borderId="14" xfId="0" applyFill="1" applyBorder="1"/>
    <xf numFmtId="0" fontId="0" fillId="2" borderId="15" xfId="0" applyFill="1" applyBorder="1"/>
    <xf numFmtId="167" fontId="0" fillId="0" borderId="1" xfId="0" applyNumberFormat="1" applyBorder="1" applyAlignment="1">
      <alignment horizontal="center"/>
    </xf>
    <xf numFmtId="7" fontId="0" fillId="0" borderId="1" xfId="0" applyNumberFormat="1" applyBorder="1" applyAlignment="1">
      <alignment horizontal="center"/>
    </xf>
    <xf numFmtId="7" fontId="0" fillId="0" borderId="6" xfId="1" applyNumberFormat="1" applyFont="1" applyBorder="1" applyAlignment="1">
      <alignment horizontal="center"/>
    </xf>
    <xf numFmtId="7" fontId="0" fillId="4" borderId="6" xfId="1" applyNumberFormat="1" applyFont="1" applyFill="1" applyBorder="1" applyAlignment="1">
      <alignment horizontal="center"/>
    </xf>
    <xf numFmtId="7" fontId="13" fillId="4" borderId="1" xfId="0" applyNumberFormat="1" applyFont="1" applyFill="1" applyBorder="1"/>
    <xf numFmtId="7" fontId="14" fillId="2" borderId="14" xfId="0" applyNumberFormat="1" applyFont="1" applyFill="1" applyBorder="1"/>
    <xf numFmtId="0" fontId="6" fillId="0" borderId="0" xfId="0" applyFont="1"/>
    <xf numFmtId="0" fontId="8" fillId="4" borderId="3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right"/>
    </xf>
    <xf numFmtId="0" fontId="11" fillId="2" borderId="12" xfId="0" applyFont="1" applyFill="1" applyBorder="1" applyAlignment="1">
      <alignment horizontal="right"/>
    </xf>
    <xf numFmtId="0" fontId="11" fillId="2" borderId="13" xfId="0" applyFont="1" applyFill="1" applyBorder="1" applyAlignment="1">
      <alignment horizontal="right"/>
    </xf>
    <xf numFmtId="0" fontId="12" fillId="4" borderId="3" xfId="0" applyFont="1" applyFill="1" applyBorder="1" applyAlignment="1">
      <alignment horizontal="right"/>
    </xf>
    <xf numFmtId="0" fontId="0" fillId="0" borderId="2" xfId="0" applyBorder="1"/>
    <xf numFmtId="0" fontId="15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4" xfId="0" applyBorder="1"/>
    <xf numFmtId="0" fontId="0" fillId="0" borderId="20" xfId="0" applyBorder="1"/>
    <xf numFmtId="0" fontId="0" fillId="0" borderId="15" xfId="0" applyBorder="1"/>
    <xf numFmtId="0" fontId="14" fillId="3" borderId="8" xfId="0" applyFont="1" applyFill="1" applyBorder="1" applyAlignment="1">
      <alignment horizontal="left"/>
    </xf>
    <xf numFmtId="0" fontId="17" fillId="3" borderId="8" xfId="0" applyFont="1" applyFill="1" applyBorder="1"/>
    <xf numFmtId="0" fontId="17" fillId="3" borderId="9" xfId="0" applyFont="1" applyFill="1" applyBorder="1"/>
    <xf numFmtId="0" fontId="17" fillId="0" borderId="1" xfId="0" applyFont="1" applyBorder="1"/>
    <xf numFmtId="0" fontId="17" fillId="0" borderId="17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8" fillId="2" borderId="12" xfId="0" applyFont="1" applyFill="1" applyBorder="1" applyAlignment="1">
      <alignment horizontal="right"/>
    </xf>
    <xf numFmtId="7" fontId="18" fillId="2" borderId="14" xfId="0" applyNumberFormat="1" applyFont="1" applyFill="1" applyBorder="1"/>
    <xf numFmtId="0" fontId="19" fillId="4" borderId="10" xfId="0" applyFont="1" applyFill="1" applyBorder="1" applyAlignment="1">
      <alignment horizontal="right"/>
    </xf>
    <xf numFmtId="0" fontId="19" fillId="4" borderId="3" xfId="0" applyFont="1" applyFill="1" applyBorder="1" applyAlignment="1">
      <alignment horizontal="right"/>
    </xf>
    <xf numFmtId="7" fontId="17" fillId="4" borderId="1" xfId="0" applyNumberFormat="1" applyFont="1" applyFill="1" applyBorder="1" applyAlignment="1">
      <alignment horizontal="center"/>
    </xf>
    <xf numFmtId="0" fontId="18" fillId="3" borderId="8" xfId="0" applyFont="1" applyFill="1" applyBorder="1" applyAlignment="1">
      <alignment horizontal="left"/>
    </xf>
    <xf numFmtId="7" fontId="17" fillId="4" borderId="6" xfId="0" applyNumberFormat="1" applyFont="1" applyFill="1" applyBorder="1" applyAlignment="1">
      <alignment horizontal="center"/>
    </xf>
    <xf numFmtId="0" fontId="20" fillId="3" borderId="8" xfId="0" applyFont="1" applyFill="1" applyBorder="1"/>
    <xf numFmtId="0" fontId="20" fillId="3" borderId="9" xfId="0" applyFont="1" applyFill="1" applyBorder="1"/>
    <xf numFmtId="0" fontId="11" fillId="2" borderId="26" xfId="0" applyFont="1" applyFill="1" applyBorder="1" applyAlignment="1">
      <alignment horizontal="right"/>
    </xf>
    <xf numFmtId="0" fontId="0" fillId="2" borderId="27" xfId="0" applyFill="1" applyBorder="1"/>
    <xf numFmtId="0" fontId="21" fillId="7" borderId="22" xfId="0" applyFont="1" applyFill="1" applyBorder="1" applyAlignment="1">
      <alignment horizontal="center"/>
    </xf>
    <xf numFmtId="0" fontId="21" fillId="7" borderId="23" xfId="0" applyFont="1" applyFill="1" applyBorder="1" applyAlignment="1">
      <alignment horizontal="center"/>
    </xf>
    <xf numFmtId="0" fontId="21" fillId="7" borderId="24" xfId="0" applyFont="1" applyFill="1" applyBorder="1" applyAlignment="1">
      <alignment horizontal="center"/>
    </xf>
    <xf numFmtId="0" fontId="18" fillId="3" borderId="16" xfId="0" applyFont="1" applyFill="1" applyBorder="1"/>
    <xf numFmtId="0" fontId="19" fillId="4" borderId="10" xfId="0" applyFont="1" applyFill="1" applyBorder="1"/>
    <xf numFmtId="0" fontId="18" fillId="2" borderId="11" xfId="0" applyFont="1" applyFill="1" applyBorder="1"/>
    <xf numFmtId="0" fontId="12" fillId="4" borderId="10" xfId="0" applyFont="1" applyFill="1" applyBorder="1"/>
    <xf numFmtId="0" fontId="8" fillId="4" borderId="10" xfId="0" applyFont="1" applyFill="1" applyBorder="1"/>
    <xf numFmtId="0" fontId="8" fillId="4" borderId="5" xfId="0" applyFont="1" applyFill="1" applyBorder="1"/>
    <xf numFmtId="0" fontId="11" fillId="2" borderId="11" xfId="0" applyFont="1" applyFill="1" applyBorder="1"/>
    <xf numFmtId="0" fontId="11" fillId="2" borderId="25" xfId="0" applyFont="1" applyFill="1" applyBorder="1"/>
    <xf numFmtId="7" fontId="18" fillId="2" borderId="1" xfId="0" applyNumberFormat="1" applyFont="1" applyFill="1" applyBorder="1" applyAlignment="1">
      <alignment horizontal="center"/>
    </xf>
    <xf numFmtId="7" fontId="14" fillId="2" borderId="30" xfId="0" applyNumberFormat="1" applyFont="1" applyFill="1" applyBorder="1"/>
    <xf numFmtId="0" fontId="9" fillId="2" borderId="31" xfId="0" applyFont="1" applyFill="1" applyBorder="1"/>
    <xf numFmtId="0" fontId="0" fillId="0" borderId="27" xfId="0" applyBorder="1"/>
    <xf numFmtId="7" fontId="14" fillId="2" borderId="32" xfId="0" applyNumberFormat="1" applyFont="1" applyFill="1" applyBorder="1"/>
    <xf numFmtId="0" fontId="9" fillId="2" borderId="33" xfId="0" applyFont="1" applyFill="1" applyBorder="1"/>
    <xf numFmtId="0" fontId="17" fillId="3" borderId="30" xfId="0" applyFont="1" applyFill="1" applyBorder="1"/>
    <xf numFmtId="0" fontId="17" fillId="3" borderId="31" xfId="0" applyFont="1" applyFill="1" applyBorder="1"/>
    <xf numFmtId="0" fontId="17" fillId="3" borderId="16" xfId="0" applyFont="1" applyFill="1" applyBorder="1"/>
    <xf numFmtId="0" fontId="0" fillId="0" borderId="34" xfId="0" applyBorder="1"/>
    <xf numFmtId="7" fontId="13" fillId="4" borderId="25" xfId="0" applyNumberFormat="1" applyFont="1" applyFill="1" applyBorder="1"/>
    <xf numFmtId="7" fontId="0" fillId="4" borderId="35" xfId="1" applyNumberFormat="1" applyFont="1" applyFill="1" applyBorder="1" applyAlignment="1">
      <alignment horizontal="center"/>
    </xf>
    <xf numFmtId="0" fontId="20" fillId="3" borderId="29" xfId="0" applyFont="1" applyFill="1" applyBorder="1"/>
    <xf numFmtId="7" fontId="13" fillId="4" borderId="30" xfId="0" applyNumberFormat="1" applyFont="1" applyFill="1" applyBorder="1"/>
    <xf numFmtId="7" fontId="0" fillId="4" borderId="31" xfId="1" applyNumberFormat="1" applyFont="1" applyFill="1" applyBorder="1" applyAlignment="1">
      <alignment horizontal="center"/>
    </xf>
    <xf numFmtId="7" fontId="17" fillId="4" borderId="5" xfId="0" applyNumberFormat="1" applyFont="1" applyFill="1" applyBorder="1" applyAlignment="1">
      <alignment horizontal="center"/>
    </xf>
    <xf numFmtId="0" fontId="0" fillId="0" borderId="37" xfId="0" applyBorder="1"/>
    <xf numFmtId="0" fontId="0" fillId="0" borderId="36" xfId="0" applyBorder="1"/>
    <xf numFmtId="0" fontId="0" fillId="0" borderId="38" xfId="0" applyBorder="1"/>
    <xf numFmtId="0" fontId="0" fillId="0" borderId="39" xfId="0" applyBorder="1"/>
    <xf numFmtId="0" fontId="17" fillId="0" borderId="19" xfId="0" applyFont="1" applyBorder="1"/>
    <xf numFmtId="0" fontId="17" fillId="0" borderId="4" xfId="0" applyFont="1" applyBorder="1"/>
    <xf numFmtId="0" fontId="20" fillId="3" borderId="7" xfId="0" applyFont="1" applyFill="1" applyBorder="1"/>
    <xf numFmtId="7" fontId="18" fillId="2" borderId="14" xfId="0" applyNumberFormat="1" applyFont="1" applyFill="1" applyBorder="1" applyAlignment="1">
      <alignment horizontal="center"/>
    </xf>
    <xf numFmtId="7" fontId="18" fillId="2" borderId="15" xfId="0" applyNumberFormat="1" applyFont="1" applyFill="1" applyBorder="1" applyAlignment="1">
      <alignment horizontal="center"/>
    </xf>
    <xf numFmtId="0" fontId="22" fillId="0" borderId="5" xfId="0" applyFont="1" applyBorder="1"/>
    <xf numFmtId="0" fontId="22" fillId="0" borderId="1" xfId="0" applyFont="1" applyBorder="1"/>
    <xf numFmtId="1" fontId="22" fillId="0" borderId="2" xfId="0" applyNumberFormat="1" applyFont="1" applyBorder="1"/>
    <xf numFmtId="7" fontId="22" fillId="0" borderId="1" xfId="1" applyNumberFormat="1" applyFont="1" applyBorder="1"/>
    <xf numFmtId="7" fontId="22" fillId="0" borderId="1" xfId="0" applyNumberFormat="1" applyFont="1" applyBorder="1" applyAlignment="1">
      <alignment horizontal="center"/>
    </xf>
    <xf numFmtId="7" fontId="22" fillId="0" borderId="6" xfId="1" applyNumberFormat="1" applyFont="1" applyBorder="1" applyAlignment="1">
      <alignment horizontal="center"/>
    </xf>
    <xf numFmtId="1" fontId="22" fillId="0" borderId="1" xfId="0" applyNumberFormat="1" applyFont="1" applyBorder="1"/>
    <xf numFmtId="167" fontId="22" fillId="0" borderId="1" xfId="0" applyNumberFormat="1" applyFont="1" applyBorder="1" applyAlignment="1">
      <alignment horizontal="center"/>
    </xf>
    <xf numFmtId="0" fontId="22" fillId="0" borderId="30" xfId="0" applyFont="1" applyBorder="1"/>
    <xf numFmtId="0" fontId="22" fillId="0" borderId="0" xfId="0" applyFont="1"/>
    <xf numFmtId="0" fontId="0" fillId="8" borderId="0" xfId="0" applyFill="1"/>
    <xf numFmtId="0" fontId="9" fillId="10" borderId="0" xfId="0" applyFont="1" applyFill="1"/>
    <xf numFmtId="0" fontId="9" fillId="11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9" fillId="9" borderId="0" xfId="0" applyFont="1" applyFill="1"/>
    <xf numFmtId="0" fontId="18" fillId="9" borderId="16" xfId="0" applyFont="1" applyFill="1" applyBorder="1"/>
    <xf numFmtId="0" fontId="14" fillId="9" borderId="8" xfId="0" applyFont="1" applyFill="1" applyBorder="1" applyAlignment="1">
      <alignment horizontal="left"/>
    </xf>
    <xf numFmtId="0" fontId="18" fillId="10" borderId="11" xfId="0" applyFont="1" applyFill="1" applyBorder="1"/>
    <xf numFmtId="0" fontId="18" fillId="10" borderId="12" xfId="0" applyFont="1" applyFill="1" applyBorder="1" applyAlignment="1">
      <alignment horizontal="right"/>
    </xf>
    <xf numFmtId="7" fontId="18" fillId="10" borderId="14" xfId="0" applyNumberFormat="1" applyFont="1" applyFill="1" applyBorder="1" applyAlignment="1">
      <alignment horizontal="center"/>
    </xf>
    <xf numFmtId="0" fontId="19" fillId="8" borderId="10" xfId="0" applyFont="1" applyFill="1" applyBorder="1"/>
    <xf numFmtId="0" fontId="19" fillId="8" borderId="3" xfId="0" applyFont="1" applyFill="1" applyBorder="1" applyAlignment="1">
      <alignment horizontal="right"/>
    </xf>
    <xf numFmtId="7" fontId="17" fillId="8" borderId="1" xfId="0" applyNumberFormat="1" applyFont="1" applyFill="1" applyBorder="1" applyAlignment="1">
      <alignment horizontal="center"/>
    </xf>
    <xf numFmtId="7" fontId="17" fillId="8" borderId="6" xfId="0" applyNumberFormat="1" applyFont="1" applyFill="1" applyBorder="1" applyAlignment="1">
      <alignment horizontal="center"/>
    </xf>
    <xf numFmtId="7" fontId="13" fillId="8" borderId="30" xfId="0" applyNumberFormat="1" applyFont="1" applyFill="1" applyBorder="1"/>
    <xf numFmtId="0" fontId="19" fillId="8" borderId="2" xfId="0" applyFont="1" applyFill="1" applyBorder="1" applyAlignment="1">
      <alignment horizontal="right"/>
    </xf>
    <xf numFmtId="7" fontId="18" fillId="10" borderId="15" xfId="0" applyNumberFormat="1" applyFont="1" applyFill="1" applyBorder="1" applyAlignment="1">
      <alignment horizontal="center"/>
    </xf>
    <xf numFmtId="0" fontId="17" fillId="9" borderId="8" xfId="0" applyFont="1" applyFill="1" applyBorder="1"/>
    <xf numFmtId="0" fontId="17" fillId="9" borderId="9" xfId="0" applyFont="1" applyFill="1" applyBorder="1"/>
    <xf numFmtId="0" fontId="17" fillId="9" borderId="16" xfId="0" applyFont="1" applyFill="1" applyBorder="1"/>
    <xf numFmtId="0" fontId="23" fillId="7" borderId="22" xfId="0" applyFont="1" applyFill="1" applyBorder="1" applyAlignment="1">
      <alignment horizontal="center"/>
    </xf>
    <xf numFmtId="0" fontId="23" fillId="7" borderId="23" xfId="0" applyFont="1" applyFill="1" applyBorder="1" applyAlignment="1">
      <alignment horizontal="center"/>
    </xf>
    <xf numFmtId="0" fontId="23" fillId="7" borderId="24" xfId="0" applyFont="1" applyFill="1" applyBorder="1" applyAlignment="1">
      <alignment horizontal="center"/>
    </xf>
    <xf numFmtId="0" fontId="24" fillId="0" borderId="0" xfId="0" applyFont="1"/>
    <xf numFmtId="0" fontId="22" fillId="0" borderId="1" xfId="0" applyFont="1" applyBorder="1" applyAlignment="1">
      <alignment horizontal="center"/>
    </xf>
    <xf numFmtId="0" fontId="19" fillId="8" borderId="3" xfId="0" applyFont="1" applyFill="1" applyBorder="1" applyAlignment="1">
      <alignment horizontal="center"/>
    </xf>
    <xf numFmtId="0" fontId="11" fillId="10" borderId="12" xfId="0" applyFont="1" applyFill="1" applyBorder="1" applyAlignment="1">
      <alignment horizontal="center"/>
    </xf>
    <xf numFmtId="0" fontId="14" fillId="9" borderId="8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7" fontId="11" fillId="10" borderId="11" xfId="0" applyNumberFormat="1" applyFont="1" applyFill="1" applyBorder="1"/>
    <xf numFmtId="0" fontId="13" fillId="9" borderId="16" xfId="0" applyFont="1" applyFill="1" applyBorder="1"/>
    <xf numFmtId="0" fontId="22" fillId="0" borderId="38" xfId="0" applyFont="1" applyBorder="1"/>
    <xf numFmtId="0" fontId="22" fillId="0" borderId="19" xfId="0" applyFont="1" applyBorder="1"/>
    <xf numFmtId="7" fontId="13" fillId="8" borderId="10" xfId="0" applyNumberFormat="1" applyFont="1" applyFill="1" applyBorder="1"/>
    <xf numFmtId="7" fontId="13" fillId="8" borderId="5" xfId="0" applyNumberFormat="1" applyFont="1" applyFill="1" applyBorder="1"/>
    <xf numFmtId="0" fontId="20" fillId="0" borderId="4" xfId="0" applyFont="1" applyBorder="1" applyAlignment="1">
      <alignment horizontal="center"/>
    </xf>
    <xf numFmtId="0" fontId="17" fillId="9" borderId="9" xfId="0" applyFont="1" applyFill="1" applyBorder="1" applyAlignment="1">
      <alignment horizontal="center"/>
    </xf>
    <xf numFmtId="7" fontId="22" fillId="0" borderId="6" xfId="0" applyNumberFormat="1" applyFont="1" applyBorder="1" applyAlignment="1">
      <alignment horizontal="center"/>
    </xf>
    <xf numFmtId="0" fontId="13" fillId="9" borderId="9" xfId="0" applyFont="1" applyFill="1" applyBorder="1" applyAlignment="1">
      <alignment horizontal="center"/>
    </xf>
    <xf numFmtId="0" fontId="20" fillId="0" borderId="19" xfId="0" applyFont="1" applyBorder="1" applyAlignment="1">
      <alignment horizontal="center"/>
    </xf>
    <xf numFmtId="7" fontId="18" fillId="10" borderId="28" xfId="0" applyNumberFormat="1" applyFont="1" applyFill="1" applyBorder="1" applyAlignment="1">
      <alignment horizontal="center"/>
    </xf>
    <xf numFmtId="0" fontId="17" fillId="0" borderId="0" xfId="0" applyFont="1"/>
    <xf numFmtId="49" fontId="25" fillId="17" borderId="0" xfId="0" applyNumberFormat="1" applyFont="1" applyFill="1" applyAlignment="1">
      <alignment horizontal="left"/>
    </xf>
    <xf numFmtId="49" fontId="25" fillId="18" borderId="0" xfId="0" applyNumberFormat="1" applyFont="1" applyFill="1" applyAlignment="1">
      <alignment horizontal="left"/>
    </xf>
    <xf numFmtId="0" fontId="26" fillId="0" borderId="0" xfId="3"/>
    <xf numFmtId="49" fontId="26" fillId="0" borderId="0" xfId="3" applyNumberFormat="1"/>
    <xf numFmtId="0" fontId="23" fillId="7" borderId="5" xfId="0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/>
    </xf>
    <xf numFmtId="0" fontId="23" fillId="7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27" fillId="10" borderId="12" xfId="0" applyNumberFormat="1" applyFont="1" applyFill="1" applyBorder="1" applyAlignment="1">
      <alignment horizontal="center"/>
    </xf>
    <xf numFmtId="168" fontId="28" fillId="9" borderId="8" xfId="0" applyNumberFormat="1" applyFont="1" applyFill="1" applyBorder="1" applyAlignment="1">
      <alignment horizontal="center"/>
    </xf>
    <xf numFmtId="0" fontId="29" fillId="0" borderId="0" xfId="0" applyFont="1"/>
    <xf numFmtId="0" fontId="30" fillId="7" borderId="22" xfId="0" applyFont="1" applyFill="1" applyBorder="1" applyAlignment="1">
      <alignment horizontal="center"/>
    </xf>
    <xf numFmtId="0" fontId="30" fillId="7" borderId="23" xfId="0" applyFont="1" applyFill="1" applyBorder="1" applyAlignment="1">
      <alignment horizontal="center"/>
    </xf>
    <xf numFmtId="0" fontId="30" fillId="7" borderId="24" xfId="0" applyFont="1" applyFill="1" applyBorder="1" applyAlignment="1">
      <alignment horizontal="center"/>
    </xf>
    <xf numFmtId="0" fontId="31" fillId="0" borderId="0" xfId="0" applyFont="1"/>
    <xf numFmtId="0" fontId="32" fillId="0" borderId="19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3" fontId="33" fillId="7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7" fontId="0" fillId="0" borderId="1" xfId="1" applyNumberFormat="1" applyFont="1" applyBorder="1" applyAlignment="1">
      <alignment horizontal="center"/>
    </xf>
    <xf numFmtId="7" fontId="0" fillId="0" borderId="6" xfId="0" applyNumberFormat="1" applyBorder="1" applyAlignment="1">
      <alignment horizontal="center"/>
    </xf>
    <xf numFmtId="0" fontId="12" fillId="8" borderId="2" xfId="0" applyFont="1" applyFill="1" applyBorder="1" applyAlignment="1">
      <alignment horizontal="right"/>
    </xf>
    <xf numFmtId="7" fontId="13" fillId="8" borderId="1" xfId="0" applyNumberFormat="1" applyFont="1" applyFill="1" applyBorder="1" applyAlignment="1">
      <alignment horizontal="center"/>
    </xf>
    <xf numFmtId="7" fontId="13" fillId="8" borderId="6" xfId="0" applyNumberFormat="1" applyFont="1" applyFill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30" xfId="0" applyBorder="1" applyAlignment="1">
      <alignment horizontal="center"/>
    </xf>
    <xf numFmtId="0" fontId="34" fillId="9" borderId="16" xfId="0" applyFont="1" applyFill="1" applyBorder="1"/>
    <xf numFmtId="0" fontId="14" fillId="10" borderId="12" xfId="0" applyFont="1" applyFill="1" applyBorder="1" applyAlignment="1">
      <alignment horizontal="right"/>
    </xf>
    <xf numFmtId="0" fontId="12" fillId="8" borderId="10" xfId="0" applyFont="1" applyFill="1" applyBorder="1"/>
    <xf numFmtId="0" fontId="12" fillId="8" borderId="3" xfId="0" applyFont="1" applyFill="1" applyBorder="1" applyAlignment="1">
      <alignment horizontal="right"/>
    </xf>
    <xf numFmtId="168" fontId="35" fillId="8" borderId="3" xfId="0" applyNumberFormat="1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7" fontId="14" fillId="10" borderId="14" xfId="0" applyNumberFormat="1" applyFont="1" applyFill="1" applyBorder="1" applyAlignment="1">
      <alignment horizontal="center"/>
    </xf>
    <xf numFmtId="7" fontId="14" fillId="10" borderId="15" xfId="0" applyNumberFormat="1" applyFont="1" applyFill="1" applyBorder="1" applyAlignment="1">
      <alignment horizontal="center"/>
    </xf>
    <xf numFmtId="7" fontId="14" fillId="10" borderId="11" xfId="0" applyNumberFormat="1" applyFont="1" applyFill="1" applyBorder="1"/>
    <xf numFmtId="7" fontId="14" fillId="10" borderId="28" xfId="0" applyNumberFormat="1" applyFont="1" applyFill="1" applyBorder="1" applyAlignment="1">
      <alignment horizontal="center"/>
    </xf>
    <xf numFmtId="0" fontId="6" fillId="0" borderId="40" xfId="0" applyFont="1" applyBorder="1" applyAlignment="1">
      <alignment horizontal="center"/>
    </xf>
    <xf numFmtId="3" fontId="0" fillId="0" borderId="41" xfId="0" applyNumberFormat="1" applyBorder="1" applyAlignment="1">
      <alignment horizontal="center"/>
    </xf>
    <xf numFmtId="0" fontId="18" fillId="7" borderId="30" xfId="0" applyFont="1" applyFill="1" applyBorder="1"/>
    <xf numFmtId="0" fontId="18" fillId="7" borderId="0" xfId="0" applyFont="1" applyFill="1" applyAlignment="1">
      <alignment horizontal="right"/>
    </xf>
    <xf numFmtId="168" fontId="27" fillId="7" borderId="0" xfId="0" applyNumberFormat="1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4" fillId="7" borderId="0" xfId="0" applyFont="1" applyFill="1" applyAlignment="1">
      <alignment horizontal="right"/>
    </xf>
    <xf numFmtId="7" fontId="14" fillId="7" borderId="0" xfId="0" applyNumberFormat="1" applyFont="1" applyFill="1" applyAlignment="1">
      <alignment horizontal="center"/>
    </xf>
    <xf numFmtId="7" fontId="14" fillId="7" borderId="31" xfId="0" applyNumberFormat="1" applyFont="1" applyFill="1" applyBorder="1" applyAlignment="1">
      <alignment horizontal="center"/>
    </xf>
    <xf numFmtId="0" fontId="29" fillId="7" borderId="0" xfId="0" applyFont="1" applyFill="1"/>
    <xf numFmtId="7" fontId="14" fillId="7" borderId="30" xfId="0" applyNumberFormat="1" applyFont="1" applyFill="1" applyBorder="1"/>
    <xf numFmtId="0" fontId="14" fillId="10" borderId="11" xfId="0" applyFont="1" applyFill="1" applyBorder="1"/>
    <xf numFmtId="168" fontId="28" fillId="10" borderId="12" xfId="0" applyNumberFormat="1" applyFont="1" applyFill="1" applyBorder="1" applyAlignment="1">
      <alignment horizontal="center"/>
    </xf>
    <xf numFmtId="0" fontId="14" fillId="10" borderId="12" xfId="0" applyFont="1" applyFill="1" applyBorder="1" applyAlignment="1">
      <alignment horizontal="center"/>
    </xf>
    <xf numFmtId="7" fontId="26" fillId="0" borderId="0" xfId="3" applyNumberFormat="1"/>
    <xf numFmtId="0" fontId="4" fillId="0" borderId="0" xfId="8"/>
    <xf numFmtId="14" fontId="4" fillId="0" borderId="0" xfId="8" applyNumberFormat="1"/>
    <xf numFmtId="2" fontId="26" fillId="0" borderId="0" xfId="3" applyNumberFormat="1"/>
    <xf numFmtId="0" fontId="11" fillId="2" borderId="11" xfId="0" applyFont="1" applyFill="1" applyBorder="1" applyAlignment="1">
      <alignment horizontal="right"/>
    </xf>
    <xf numFmtId="0" fontId="11" fillId="2" borderId="12" xfId="0" applyFont="1" applyFill="1" applyBorder="1" applyAlignment="1">
      <alignment horizontal="right"/>
    </xf>
    <xf numFmtId="0" fontId="11" fillId="2" borderId="13" xfId="0" applyFont="1" applyFill="1" applyBorder="1" applyAlignment="1">
      <alignment horizontal="right"/>
    </xf>
    <xf numFmtId="0" fontId="14" fillId="3" borderId="16" xfId="0" applyFont="1" applyFill="1" applyBorder="1" applyAlignment="1">
      <alignment horizontal="left"/>
    </xf>
    <xf numFmtId="0" fontId="14" fillId="3" borderId="8" xfId="0" applyFont="1" applyFill="1" applyBorder="1" applyAlignment="1">
      <alignment horizontal="left"/>
    </xf>
    <xf numFmtId="0" fontId="8" fillId="4" borderId="10" xfId="0" applyFont="1" applyFill="1" applyBorder="1" applyAlignment="1">
      <alignment horizontal="right"/>
    </xf>
    <xf numFmtId="0" fontId="8" fillId="4" borderId="3" xfId="0" applyFont="1" applyFill="1" applyBorder="1" applyAlignment="1">
      <alignment horizontal="right"/>
    </xf>
    <xf numFmtId="0" fontId="8" fillId="4" borderId="2" xfId="0" applyFont="1" applyFill="1" applyBorder="1" applyAlignment="1">
      <alignment horizontal="right"/>
    </xf>
    <xf numFmtId="0" fontId="12" fillId="4" borderId="10" xfId="0" applyFont="1" applyFill="1" applyBorder="1" applyAlignment="1">
      <alignment horizontal="right"/>
    </xf>
    <xf numFmtId="0" fontId="12" fillId="4" borderId="3" xfId="0" applyFont="1" applyFill="1" applyBorder="1" applyAlignment="1">
      <alignment horizontal="right"/>
    </xf>
    <xf numFmtId="0" fontId="12" fillId="4" borderId="2" xfId="0" applyFont="1" applyFill="1" applyBorder="1" applyAlignment="1">
      <alignment horizontal="right"/>
    </xf>
    <xf numFmtId="0" fontId="18" fillId="2" borderId="11" xfId="0" applyFont="1" applyFill="1" applyBorder="1" applyAlignment="1">
      <alignment horizontal="right"/>
    </xf>
    <xf numFmtId="0" fontId="18" fillId="2" borderId="12" xfId="0" applyFont="1" applyFill="1" applyBorder="1" applyAlignment="1">
      <alignment horizontal="right"/>
    </xf>
    <xf numFmtId="0" fontId="18" fillId="2" borderId="13" xfId="0" applyFont="1" applyFill="1" applyBorder="1" applyAlignment="1">
      <alignment horizontal="right"/>
    </xf>
    <xf numFmtId="0" fontId="18" fillId="3" borderId="16" xfId="0" applyFont="1" applyFill="1" applyBorder="1" applyAlignment="1">
      <alignment horizontal="left"/>
    </xf>
    <xf numFmtId="0" fontId="18" fillId="3" borderId="8" xfId="0" applyFont="1" applyFill="1" applyBorder="1" applyAlignment="1">
      <alignment horizontal="left"/>
    </xf>
    <xf numFmtId="0" fontId="19" fillId="4" borderId="10" xfId="0" applyFont="1" applyFill="1" applyBorder="1" applyAlignment="1">
      <alignment horizontal="right"/>
    </xf>
    <xf numFmtId="0" fontId="19" fillId="4" borderId="3" xfId="0" applyFont="1" applyFill="1" applyBorder="1" applyAlignment="1">
      <alignment horizontal="right"/>
    </xf>
    <xf numFmtId="0" fontId="19" fillId="4" borderId="2" xfId="0" applyFont="1" applyFill="1" applyBorder="1" applyAlignment="1">
      <alignment horizontal="right"/>
    </xf>
  </cellXfs>
  <cellStyles count="17">
    <cellStyle name="Comma 2" xfId="13" xr:uid="{BEC7D6F0-7EAF-4D21-B9FC-A1B1EED830F7}"/>
    <cellStyle name="Currency" xfId="1" builtinId="4"/>
    <cellStyle name="Currency 2" xfId="5" xr:uid="{C4666B7B-201E-4477-A240-0FD07DF9FB7D}"/>
    <cellStyle name="Currency 3" xfId="11" xr:uid="{9AEBFDCC-5789-421E-8147-8DF38146183F}"/>
    <cellStyle name="Currency 4" xfId="15" xr:uid="{74A5645B-D814-4372-B61B-2F3B11B82181}"/>
    <cellStyle name="Enter Data" xfId="7" xr:uid="{17E7BE0D-00B1-494C-9C65-A060676B40C3}"/>
    <cellStyle name="Normal" xfId="0" builtinId="0"/>
    <cellStyle name="Normal 15" xfId="16" xr:uid="{0814B267-7E8C-491F-8659-A1161C90A5A6}"/>
    <cellStyle name="Normal 2" xfId="3" xr:uid="{6663D23B-8BBD-40A8-BD1E-D29B1737D29B}"/>
    <cellStyle name="Normal 3" xfId="8" xr:uid="{452BC4E7-DDA0-4D0E-AE1E-A47575F09BDC}"/>
    <cellStyle name="Normal 4" xfId="9" xr:uid="{DDA4FB44-B07D-4D01-83B1-8F6E4C375112}"/>
    <cellStyle name="Normal 5" xfId="6" xr:uid="{048653D7-F8DD-407F-8D10-D4555D7BFDDF}"/>
    <cellStyle name="Normal 6" xfId="10" xr:uid="{350412ED-6DA5-444B-9457-ECCC970D41FE}"/>
    <cellStyle name="Normal 7" xfId="4" xr:uid="{E754F013-62CD-43B0-9B93-49A109331761}"/>
    <cellStyle name="Normal 8" xfId="12" xr:uid="{E0E434B1-B28B-4C89-84B0-DF9A8F1895E7}"/>
    <cellStyle name="Percent" xfId="2" builtinId="5"/>
    <cellStyle name="Percent 2" xfId="14" xr:uid="{C83F196D-C754-43B8-8880-F9F45B9B709B}"/>
  </cellStyles>
  <dxfs count="20">
    <dxf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</dxf>
    <dxf>
      <border outline="0"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</dxf>
    <dxf>
      <border outline="0"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</dxf>
    <dxf>
      <border outline="0"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</dxf>
    <dxf>
      <border outline="0"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7A6"/>
      <color rgb="FF66FF33"/>
      <color rgb="FF0B1A3F"/>
      <color rgb="FFFFC7CE"/>
      <color rgb="FFFFEB9C"/>
      <color rgb="FFC6EFCE"/>
      <color rgb="FFA7E292"/>
      <color rgb="FF000000"/>
      <color rgb="FFA8A9AD"/>
      <color rgb="FF96C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HARE/PROJECTS/Park%20Avenue%20Lofts-West/Estimates%20-%20Bids/Preliminary/VE%20Pre-Con%20Items/DD%20Estimate%207-10-02.xls" TargetMode="External"/><Relationship Id="rId1" Type="http://schemas.openxmlformats.org/officeDocument/2006/relationships/externalLinkPath" Target="/USERS/SHARE/PROJECTS/Park%20Avenue%20Lofts-West/Estimates%20-%20Bids/Preliminary/VE%20Pre-Con%20Items/DD%20Estimate%207-10-0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/EXCEL/Projects/ParkLofts/Estimates/Heritage-Park%20Compare.XLS" TargetMode="External"/><Relationship Id="rId1" Type="http://schemas.openxmlformats.org/officeDocument/2006/relationships/externalLinkPath" Target="/DATA/EXCEL/Projects/ParkLofts/Estimates/Heritage-Park%20Compa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rket Info Recap"/>
      <sheetName val="Systems Recap"/>
      <sheetName val="Systems Detail"/>
      <sheetName val="Divisional Recap"/>
      <sheetName val="Divisional Detail "/>
      <sheetName val="SECTION ESTIMATE"/>
      <sheetName val="Project Information"/>
      <sheetName val="Unit Counts"/>
      <sheetName val="Bed and Bath"/>
      <sheetName val="Length &amp; Area"/>
      <sheetName val="General Conditions"/>
      <sheetName val="Interior Takeoff"/>
      <sheetName val="Earthwork"/>
      <sheetName val="Concrete"/>
      <sheetName val="Gypcrete"/>
      <sheetName val="Masonry"/>
      <sheetName val="Metals"/>
      <sheetName val="Rough Carpentry"/>
      <sheetName val="Lumber"/>
      <sheetName val="Finish Carpentry"/>
      <sheetName val="Millwork"/>
      <sheetName val="Windows and Patio Doors"/>
      <sheetName val="Insulation"/>
      <sheetName val="Roofing &amp; Sheetmetal"/>
      <sheetName val="Doors and Hardware"/>
      <sheetName val="Drywall"/>
      <sheetName val="Ceramic Tile"/>
      <sheetName val="Carpet and Vinyl"/>
      <sheetName val="Painting"/>
      <sheetName val="Accessories"/>
      <sheetName val="Cabinets &amp; Countertops"/>
      <sheetName val="Appliances"/>
      <sheetName val="Mechanical"/>
      <sheetName val="Fire Protection"/>
      <sheetName val="Elect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liminary"/>
      <sheetName val="Qualifications"/>
      <sheetName val="Takeoff"/>
      <sheetName val="Windows"/>
      <sheetName val="Subsets"/>
      <sheetName val="Concrete"/>
      <sheetName val="BORSON Compare"/>
      <sheetName val="MHFA213A"/>
      <sheetName val="HUD23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F5A77B-80E9-42DE-9CFE-5C8C5F3BBAEF}" name="Table13546" displayName="Table13546" ref="B7:H365" totalsRowShown="0" headerRowDxfId="19" headerRowBorderDxfId="18" tableBorderDxfId="17">
  <autoFilter ref="B7:H365" xr:uid="{53686B49-8114-48A8-B5F2-7F2B94870619}"/>
  <tableColumns count="7">
    <tableColumn id="1" xr3:uid="{8CB2F587-F0B2-441B-B42B-7FA7B0B9A485}" name="Code" dataDxfId="16"/>
    <tableColumn id="2" xr3:uid="{E425DAA4-80A5-420D-BDE9-46A60EF4AEC3}" name="Description"/>
    <tableColumn id="4" xr3:uid="{EF45EE48-C53B-42E2-9F27-832BE33CED73}" name="Quantity"/>
    <tableColumn id="5" xr3:uid="{674AF0E8-4BD2-4AD5-B7A6-CE7C762B6DA5}" name="Unit"/>
    <tableColumn id="6" xr3:uid="{E40708F0-F59A-4543-B2EA-9B0F51B7F33C}" name="Rate"/>
    <tableColumn id="7" xr3:uid="{375D0454-D2A9-4D27-829A-0D9FC202EF2F}" name="Total"/>
    <tableColumn id="8" xr3:uid="{6F9268E3-43F0-4B28-BC81-EB0928FF0BDE}" name="Cost/S.F.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BC32A4-0206-4C27-AF59-F38CB529E750}" name="Table1354" displayName="Table1354" ref="C5:I357" totalsRowShown="0" headerRowDxfId="15" headerRowBorderDxfId="14" tableBorderDxfId="13">
  <autoFilter ref="C5:I357" xr:uid="{53686B49-8114-48A8-B5F2-7F2B94870619}"/>
  <tableColumns count="7">
    <tableColumn id="1" xr3:uid="{B44667C7-736B-4AC8-8B45-A1DBFFEB1013}" name="Code" dataDxfId="12"/>
    <tableColumn id="2" xr3:uid="{C96EB8C1-6D11-444B-8017-AB1B16850963}" name="Description"/>
    <tableColumn id="4" xr3:uid="{94ACA5CC-7927-41C7-9DC8-C5EDCA1C585B}" name="Quantity"/>
    <tableColumn id="5" xr3:uid="{AD2B1F44-8B22-4C03-8A2A-D7926447F53F}" name="Unit"/>
    <tableColumn id="6" xr3:uid="{ADB58ECE-35C8-4DE1-BFB3-2B308762E553}" name="Rate"/>
    <tableColumn id="7" xr3:uid="{FFD95093-2926-4BAC-B163-79F2AE67220D}" name="Total"/>
    <tableColumn id="8" xr3:uid="{70197666-BBA4-42F7-9D73-3E7CD70B5773}" name="Cost Per Sqft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1244A3-6585-404F-A9B7-4D8676ED80EE}" name="Table135" displayName="Table135" ref="C5:I317" totalsRowShown="0" headerRowDxfId="11" headerRowBorderDxfId="10" tableBorderDxfId="9">
  <autoFilter ref="C5:I317" xr:uid="{53686B49-8114-48A8-B5F2-7F2B94870619}"/>
  <tableColumns count="7">
    <tableColumn id="1" xr3:uid="{3D3900C2-012D-4664-91DB-11F13F64FBAF}" name="Code" dataDxfId="8"/>
    <tableColumn id="2" xr3:uid="{70717E6B-669F-4375-A7F5-C958DBA90B0F}" name="Description"/>
    <tableColumn id="4" xr3:uid="{94313C20-DCC9-4435-B278-189A38FEB6A5}" name="Quantity"/>
    <tableColumn id="5" xr3:uid="{90BEE2FE-F070-4B34-9C74-BDBE40A3931B}" name="Unit"/>
    <tableColumn id="6" xr3:uid="{7F80D2E0-B74D-4DB2-B4FC-165AE973F104}" name="Rate"/>
    <tableColumn id="7" xr3:uid="{7A3870E1-974A-4747-8C18-3433906F0C85}" name="Total"/>
    <tableColumn id="8" xr3:uid="{80F4FF3F-560F-487A-B863-E3DB157B8F14}" name="Cost Per Sqft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E82B61-935C-4B3C-B2F6-DBFE21BA11DA}" name="Table13" displayName="Table13" ref="C5:I317" totalsRowShown="0" headerRowDxfId="7" headerRowBorderDxfId="6" tableBorderDxfId="5">
  <autoFilter ref="C5:I317" xr:uid="{53686B49-8114-48A8-B5F2-7F2B94870619}"/>
  <tableColumns count="7">
    <tableColumn id="1" xr3:uid="{F2A0459E-FE61-4770-95FD-645DF2E8EFCE}" name="Code" dataDxfId="4"/>
    <tableColumn id="2" xr3:uid="{FEF7C74C-A49C-4A7D-B383-9921CDA1E196}" name="Description"/>
    <tableColumn id="4" xr3:uid="{2562E3A2-0F9E-4007-8D4B-2AB0A4B193F0}" name="Quantity"/>
    <tableColumn id="5" xr3:uid="{7722E00F-0981-49D9-9169-9DEC2378EFA7}" name="Unit"/>
    <tableColumn id="6" xr3:uid="{D1CF2283-8FFE-4C28-96B7-0655B308F7CE}" name="Rate"/>
    <tableColumn id="7" xr3:uid="{54AB8034-BC8F-47D4-9D16-2D11482ED94E}" name="Total"/>
    <tableColumn id="8" xr3:uid="{514A8800-57A0-484C-8D5E-341D3F9D9EC6}" name="Cost Per Sqft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686B49-8114-48A8-B5F2-7F2B94870619}" name="Table1" displayName="Table1" ref="C5:J320" totalsRowShown="0" headerRowDxfId="3" headerRowBorderDxfId="2" tableBorderDxfId="1">
  <autoFilter ref="C5:J320" xr:uid="{53686B49-8114-48A8-B5F2-7F2B94870619}"/>
  <tableColumns count="8">
    <tableColumn id="1" xr3:uid="{B27FBA86-AD4B-433A-9AC2-1C2DCEFE661E}" name="Code" dataDxfId="0"/>
    <tableColumn id="2" xr3:uid="{50164AC0-935D-4743-B435-57B0787BABF2}" name="Description"/>
    <tableColumn id="3" xr3:uid="{785D13AF-557C-403A-995B-26E4D1859214}" name="Vendor"/>
    <tableColumn id="4" xr3:uid="{7CD56648-BD01-41C5-A978-D0F15A9BD422}" name="Quantity"/>
    <tableColumn id="5" xr3:uid="{3B790BC2-EA66-4E79-A4C3-513C3563B7AA}" name="Unit"/>
    <tableColumn id="6" xr3:uid="{5F851722-946A-4908-8257-3BB316F5A64F}" name="Rate"/>
    <tableColumn id="7" xr3:uid="{6F860CC9-EB3C-44CF-9E6C-339D7D660C4D}" name="Total"/>
    <tableColumn id="8" xr3:uid="{C9E784F8-A6CD-419B-AC9E-BCBE1525A72A}" name="Cost Per Sqf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D33B-7687-4577-A96A-AFD0A0A4F39A}">
  <sheetPr codeName="Sheet12"/>
  <dimension ref="A1:D71"/>
  <sheetViews>
    <sheetView workbookViewId="0"/>
  </sheetViews>
  <sheetFormatPr defaultColWidth="9.1796875" defaultRowHeight="14.5" x14ac:dyDescent="0.35"/>
  <cols>
    <col min="1" max="16384" width="9.1796875" style="207"/>
  </cols>
  <sheetData>
    <row r="1" spans="1:4" x14ac:dyDescent="0.35">
      <c r="B1" s="207" t="s">
        <v>0</v>
      </c>
      <c r="C1" s="207" t="s">
        <v>1</v>
      </c>
      <c r="D1" s="207" t="s">
        <v>2</v>
      </c>
    </row>
    <row r="2" spans="1:4" x14ac:dyDescent="0.35">
      <c r="A2" s="207">
        <v>0</v>
      </c>
      <c r="B2" s="207">
        <v>2025</v>
      </c>
      <c r="C2" s="207" t="s">
        <v>3</v>
      </c>
      <c r="D2" s="208">
        <v>45658</v>
      </c>
    </row>
    <row r="3" spans="1:4" x14ac:dyDescent="0.35">
      <c r="A3" s="207">
        <v>1</v>
      </c>
      <c r="B3" s="207">
        <v>2025</v>
      </c>
      <c r="C3" s="207" t="s">
        <v>4</v>
      </c>
      <c r="D3" s="208">
        <v>45803</v>
      </c>
    </row>
    <row r="4" spans="1:4" x14ac:dyDescent="0.35">
      <c r="A4" s="207">
        <v>2</v>
      </c>
      <c r="B4" s="207">
        <v>2025</v>
      </c>
      <c r="C4" s="207" t="s">
        <v>5</v>
      </c>
      <c r="D4" s="208">
        <v>45842</v>
      </c>
    </row>
    <row r="5" spans="1:4" x14ac:dyDescent="0.35">
      <c r="A5" s="207">
        <v>3</v>
      </c>
      <c r="B5" s="207">
        <v>2025</v>
      </c>
      <c r="C5" s="207" t="s">
        <v>6</v>
      </c>
      <c r="D5" s="208">
        <v>45901</v>
      </c>
    </row>
    <row r="6" spans="1:4" x14ac:dyDescent="0.35">
      <c r="A6" s="207">
        <v>4</v>
      </c>
      <c r="B6" s="207">
        <v>2025</v>
      </c>
      <c r="C6" s="207" t="s">
        <v>7</v>
      </c>
      <c r="D6" s="208">
        <v>45988</v>
      </c>
    </row>
    <row r="7" spans="1:4" x14ac:dyDescent="0.35">
      <c r="A7" s="207">
        <v>5</v>
      </c>
      <c r="B7" s="207">
        <v>2025</v>
      </c>
      <c r="C7" s="207" t="s">
        <v>8</v>
      </c>
      <c r="D7" s="208">
        <v>45989</v>
      </c>
    </row>
    <row r="8" spans="1:4" x14ac:dyDescent="0.35">
      <c r="A8" s="207">
        <v>6</v>
      </c>
      <c r="B8" s="207">
        <v>2025</v>
      </c>
      <c r="C8" s="207" t="s">
        <v>9</v>
      </c>
      <c r="D8" s="208">
        <v>46016</v>
      </c>
    </row>
    <row r="9" spans="1:4" x14ac:dyDescent="0.35">
      <c r="A9" s="207">
        <v>7</v>
      </c>
      <c r="B9" s="207">
        <v>2026</v>
      </c>
      <c r="C9" s="207" t="s">
        <v>3</v>
      </c>
      <c r="D9" s="208">
        <v>46023</v>
      </c>
    </row>
    <row r="10" spans="1:4" x14ac:dyDescent="0.35">
      <c r="A10" s="207">
        <v>8</v>
      </c>
      <c r="B10" s="207">
        <v>2026</v>
      </c>
      <c r="C10" s="207" t="s">
        <v>4</v>
      </c>
      <c r="D10" s="208">
        <v>46167</v>
      </c>
    </row>
    <row r="11" spans="1:4" x14ac:dyDescent="0.35">
      <c r="A11" s="207">
        <v>9</v>
      </c>
      <c r="B11" s="207">
        <v>2026</v>
      </c>
      <c r="C11" s="207" t="s">
        <v>5</v>
      </c>
      <c r="D11" s="208">
        <v>46209</v>
      </c>
    </row>
    <row r="12" spans="1:4" x14ac:dyDescent="0.35">
      <c r="A12" s="207">
        <v>10</v>
      </c>
      <c r="B12" s="207">
        <v>2026</v>
      </c>
      <c r="C12" s="207" t="s">
        <v>6</v>
      </c>
      <c r="D12" s="208">
        <v>46272</v>
      </c>
    </row>
    <row r="13" spans="1:4" x14ac:dyDescent="0.35">
      <c r="A13" s="207">
        <v>11</v>
      </c>
      <c r="B13" s="207">
        <v>2026</v>
      </c>
      <c r="C13" s="207" t="s">
        <v>7</v>
      </c>
      <c r="D13" s="208">
        <v>46352</v>
      </c>
    </row>
    <row r="14" spans="1:4" x14ac:dyDescent="0.35">
      <c r="A14" s="207">
        <v>12</v>
      </c>
      <c r="B14" s="207">
        <v>2026</v>
      </c>
      <c r="C14" s="207" t="s">
        <v>8</v>
      </c>
      <c r="D14" s="208">
        <v>46353</v>
      </c>
    </row>
    <row r="15" spans="1:4" x14ac:dyDescent="0.35">
      <c r="A15" s="207">
        <v>13</v>
      </c>
      <c r="B15" s="207">
        <v>2026</v>
      </c>
      <c r="C15" s="207" t="s">
        <v>9</v>
      </c>
      <c r="D15" s="208">
        <v>46381</v>
      </c>
    </row>
    <row r="16" spans="1:4" x14ac:dyDescent="0.35">
      <c r="A16" s="207">
        <v>14</v>
      </c>
      <c r="B16" s="207">
        <v>2027</v>
      </c>
      <c r="C16" s="207" t="s">
        <v>3</v>
      </c>
      <c r="D16" s="208">
        <v>46388</v>
      </c>
    </row>
    <row r="17" spans="1:4" x14ac:dyDescent="0.35">
      <c r="A17" s="207">
        <v>15</v>
      </c>
      <c r="B17" s="207">
        <v>2027</v>
      </c>
      <c r="C17" s="207" t="s">
        <v>4</v>
      </c>
      <c r="D17" s="208">
        <v>46538</v>
      </c>
    </row>
    <row r="18" spans="1:4" x14ac:dyDescent="0.35">
      <c r="A18" s="207">
        <v>16</v>
      </c>
      <c r="B18" s="207">
        <v>2027</v>
      </c>
      <c r="C18" s="207" t="s">
        <v>5</v>
      </c>
      <c r="D18" s="208">
        <v>46573</v>
      </c>
    </row>
    <row r="19" spans="1:4" x14ac:dyDescent="0.35">
      <c r="A19" s="207">
        <v>17</v>
      </c>
      <c r="B19" s="207">
        <v>2027</v>
      </c>
      <c r="C19" s="207" t="s">
        <v>6</v>
      </c>
      <c r="D19" s="208">
        <v>46636</v>
      </c>
    </row>
    <row r="20" spans="1:4" x14ac:dyDescent="0.35">
      <c r="A20" s="207">
        <v>18</v>
      </c>
      <c r="B20" s="207">
        <v>2027</v>
      </c>
      <c r="C20" s="207" t="s">
        <v>7</v>
      </c>
      <c r="D20" s="208">
        <v>46716</v>
      </c>
    </row>
    <row r="21" spans="1:4" x14ac:dyDescent="0.35">
      <c r="A21" s="207">
        <v>19</v>
      </c>
      <c r="B21" s="207">
        <v>2027</v>
      </c>
      <c r="C21" s="207" t="s">
        <v>8</v>
      </c>
      <c r="D21" s="208">
        <v>46717</v>
      </c>
    </row>
    <row r="22" spans="1:4" x14ac:dyDescent="0.35">
      <c r="A22" s="207">
        <v>20</v>
      </c>
      <c r="B22" s="207">
        <v>2027</v>
      </c>
      <c r="C22" s="207" t="s">
        <v>9</v>
      </c>
      <c r="D22" s="208">
        <v>46748</v>
      </c>
    </row>
    <row r="23" spans="1:4" x14ac:dyDescent="0.35">
      <c r="A23" s="207">
        <v>21</v>
      </c>
      <c r="B23" s="207">
        <v>2028</v>
      </c>
      <c r="C23" s="207" t="s">
        <v>3</v>
      </c>
      <c r="D23" s="208">
        <v>46755</v>
      </c>
    </row>
    <row r="24" spans="1:4" x14ac:dyDescent="0.35">
      <c r="A24" s="207">
        <v>22</v>
      </c>
      <c r="B24" s="207">
        <v>2028</v>
      </c>
      <c r="C24" s="207" t="s">
        <v>4</v>
      </c>
      <c r="D24" s="208">
        <v>46902</v>
      </c>
    </row>
    <row r="25" spans="1:4" x14ac:dyDescent="0.35">
      <c r="A25" s="207">
        <v>23</v>
      </c>
      <c r="B25" s="207">
        <v>2028</v>
      </c>
      <c r="C25" s="207" t="s">
        <v>5</v>
      </c>
      <c r="D25" s="208">
        <v>46938</v>
      </c>
    </row>
    <row r="26" spans="1:4" x14ac:dyDescent="0.35">
      <c r="A26" s="207">
        <v>24</v>
      </c>
      <c r="B26" s="207">
        <v>2028</v>
      </c>
      <c r="C26" s="207" t="s">
        <v>6</v>
      </c>
      <c r="D26" s="208">
        <v>47000</v>
      </c>
    </row>
    <row r="27" spans="1:4" x14ac:dyDescent="0.35">
      <c r="A27" s="207">
        <v>25</v>
      </c>
      <c r="B27" s="207">
        <v>2028</v>
      </c>
      <c r="C27" s="207" t="s">
        <v>7</v>
      </c>
      <c r="D27" s="208">
        <v>47080</v>
      </c>
    </row>
    <row r="28" spans="1:4" x14ac:dyDescent="0.35">
      <c r="A28" s="207">
        <v>26</v>
      </c>
      <c r="B28" s="207">
        <v>2028</v>
      </c>
      <c r="C28" s="207" t="s">
        <v>8</v>
      </c>
      <c r="D28" s="208">
        <v>47081</v>
      </c>
    </row>
    <row r="29" spans="1:4" x14ac:dyDescent="0.35">
      <c r="A29" s="207">
        <v>27</v>
      </c>
      <c r="B29" s="207">
        <v>2028</v>
      </c>
      <c r="C29" s="207" t="s">
        <v>9</v>
      </c>
      <c r="D29" s="208">
        <v>47112</v>
      </c>
    </row>
    <row r="30" spans="1:4" x14ac:dyDescent="0.35">
      <c r="A30" s="207">
        <v>28</v>
      </c>
      <c r="B30" s="207">
        <v>2029</v>
      </c>
      <c r="C30" s="207" t="s">
        <v>3</v>
      </c>
      <c r="D30" s="208">
        <v>47119</v>
      </c>
    </row>
    <row r="31" spans="1:4" x14ac:dyDescent="0.35">
      <c r="A31" s="207">
        <v>29</v>
      </c>
      <c r="B31" s="207">
        <v>2029</v>
      </c>
      <c r="C31" s="207" t="s">
        <v>4</v>
      </c>
      <c r="D31" s="208">
        <v>47266</v>
      </c>
    </row>
    <row r="32" spans="1:4" x14ac:dyDescent="0.35">
      <c r="A32" s="207">
        <v>30</v>
      </c>
      <c r="B32" s="207">
        <v>2029</v>
      </c>
      <c r="C32" s="207" t="s">
        <v>5</v>
      </c>
      <c r="D32" s="208">
        <v>47303</v>
      </c>
    </row>
    <row r="33" spans="1:4" x14ac:dyDescent="0.35">
      <c r="A33" s="207">
        <v>31</v>
      </c>
      <c r="B33" s="207">
        <v>2029</v>
      </c>
      <c r="C33" s="207" t="s">
        <v>6</v>
      </c>
      <c r="D33" s="208">
        <v>47364</v>
      </c>
    </row>
    <row r="34" spans="1:4" x14ac:dyDescent="0.35">
      <c r="A34" s="207">
        <v>32</v>
      </c>
      <c r="B34" s="207">
        <v>2029</v>
      </c>
      <c r="C34" s="207" t="s">
        <v>7</v>
      </c>
      <c r="D34" s="208">
        <v>47444</v>
      </c>
    </row>
    <row r="35" spans="1:4" x14ac:dyDescent="0.35">
      <c r="A35" s="207">
        <v>33</v>
      </c>
      <c r="B35" s="207">
        <v>2029</v>
      </c>
      <c r="C35" s="207" t="s">
        <v>8</v>
      </c>
      <c r="D35" s="208">
        <v>47445</v>
      </c>
    </row>
    <row r="36" spans="1:4" x14ac:dyDescent="0.35">
      <c r="A36" s="207">
        <v>34</v>
      </c>
      <c r="B36" s="207">
        <v>2029</v>
      </c>
      <c r="C36" s="207" t="s">
        <v>9</v>
      </c>
      <c r="D36" s="208">
        <v>47477</v>
      </c>
    </row>
    <row r="37" spans="1:4" x14ac:dyDescent="0.35">
      <c r="A37" s="207">
        <v>35</v>
      </c>
      <c r="B37" s="207">
        <v>2030</v>
      </c>
      <c r="C37" s="207" t="s">
        <v>3</v>
      </c>
      <c r="D37" s="208">
        <v>47484</v>
      </c>
    </row>
    <row r="38" spans="1:4" x14ac:dyDescent="0.35">
      <c r="A38" s="207">
        <v>36</v>
      </c>
      <c r="B38" s="207">
        <v>2030</v>
      </c>
      <c r="C38" s="207" t="s">
        <v>4</v>
      </c>
      <c r="D38" s="208">
        <v>47630</v>
      </c>
    </row>
    <row r="39" spans="1:4" x14ac:dyDescent="0.35">
      <c r="A39" s="207">
        <v>37</v>
      </c>
      <c r="B39" s="207">
        <v>2030</v>
      </c>
      <c r="C39" s="207" t="s">
        <v>5</v>
      </c>
      <c r="D39" s="208">
        <v>47668</v>
      </c>
    </row>
    <row r="40" spans="1:4" x14ac:dyDescent="0.35">
      <c r="A40" s="207">
        <v>38</v>
      </c>
      <c r="B40" s="207">
        <v>2030</v>
      </c>
      <c r="C40" s="207" t="s">
        <v>6</v>
      </c>
      <c r="D40" s="208">
        <v>47728</v>
      </c>
    </row>
    <row r="41" spans="1:4" x14ac:dyDescent="0.35">
      <c r="A41" s="207">
        <v>39</v>
      </c>
      <c r="B41" s="207">
        <v>2030</v>
      </c>
      <c r="C41" s="207" t="s">
        <v>7</v>
      </c>
      <c r="D41" s="208">
        <v>47815</v>
      </c>
    </row>
    <row r="42" spans="1:4" x14ac:dyDescent="0.35">
      <c r="A42" s="207">
        <v>40</v>
      </c>
      <c r="B42" s="207">
        <v>2030</v>
      </c>
      <c r="C42" s="207" t="s">
        <v>8</v>
      </c>
      <c r="D42" s="208">
        <v>47816</v>
      </c>
    </row>
    <row r="43" spans="1:4" x14ac:dyDescent="0.35">
      <c r="A43" s="207">
        <v>41</v>
      </c>
      <c r="B43" s="207">
        <v>2030</v>
      </c>
      <c r="C43" s="207" t="s">
        <v>9</v>
      </c>
      <c r="D43" s="208">
        <v>47842</v>
      </c>
    </row>
    <row r="44" spans="1:4" x14ac:dyDescent="0.35">
      <c r="A44" s="207">
        <v>42</v>
      </c>
      <c r="B44" s="207">
        <v>2031</v>
      </c>
      <c r="C44" s="207" t="s">
        <v>3</v>
      </c>
      <c r="D44" s="208">
        <v>47849</v>
      </c>
    </row>
    <row r="45" spans="1:4" x14ac:dyDescent="0.35">
      <c r="A45" s="207">
        <v>43</v>
      </c>
      <c r="B45" s="207">
        <v>2031</v>
      </c>
      <c r="C45" s="207" t="s">
        <v>4</v>
      </c>
      <c r="D45" s="208">
        <v>47994</v>
      </c>
    </row>
    <row r="46" spans="1:4" x14ac:dyDescent="0.35">
      <c r="A46" s="207">
        <v>44</v>
      </c>
      <c r="B46" s="207">
        <v>2031</v>
      </c>
      <c r="C46" s="207" t="s">
        <v>5</v>
      </c>
      <c r="D46" s="208">
        <v>48033</v>
      </c>
    </row>
    <row r="47" spans="1:4" x14ac:dyDescent="0.35">
      <c r="A47" s="207">
        <v>45</v>
      </c>
      <c r="B47" s="207">
        <v>2031</v>
      </c>
      <c r="C47" s="207" t="s">
        <v>6</v>
      </c>
      <c r="D47" s="208">
        <v>48092</v>
      </c>
    </row>
    <row r="48" spans="1:4" x14ac:dyDescent="0.35">
      <c r="A48" s="207">
        <v>46</v>
      </c>
      <c r="B48" s="207">
        <v>2031</v>
      </c>
      <c r="C48" s="207" t="s">
        <v>7</v>
      </c>
      <c r="D48" s="208">
        <v>48179</v>
      </c>
    </row>
    <row r="49" spans="1:4" x14ac:dyDescent="0.35">
      <c r="A49" s="207">
        <v>47</v>
      </c>
      <c r="B49" s="207">
        <v>2031</v>
      </c>
      <c r="C49" s="207" t="s">
        <v>8</v>
      </c>
      <c r="D49" s="208">
        <v>48180</v>
      </c>
    </row>
    <row r="50" spans="1:4" x14ac:dyDescent="0.35">
      <c r="A50" s="207">
        <v>48</v>
      </c>
      <c r="B50" s="207">
        <v>2031</v>
      </c>
      <c r="C50" s="207" t="s">
        <v>9</v>
      </c>
      <c r="D50" s="208">
        <v>48207</v>
      </c>
    </row>
    <row r="51" spans="1:4" x14ac:dyDescent="0.35">
      <c r="A51" s="207">
        <v>49</v>
      </c>
      <c r="B51" s="207">
        <v>2032</v>
      </c>
      <c r="C51" s="207" t="s">
        <v>3</v>
      </c>
      <c r="D51" s="208">
        <v>48214</v>
      </c>
    </row>
    <row r="52" spans="1:4" x14ac:dyDescent="0.35">
      <c r="A52" s="207">
        <v>50</v>
      </c>
      <c r="B52" s="207">
        <v>2032</v>
      </c>
      <c r="C52" s="207" t="s">
        <v>4</v>
      </c>
      <c r="D52" s="208">
        <v>48365</v>
      </c>
    </row>
    <row r="53" spans="1:4" x14ac:dyDescent="0.35">
      <c r="A53" s="207">
        <v>51</v>
      </c>
      <c r="B53" s="207">
        <v>2032</v>
      </c>
      <c r="C53" s="207" t="s">
        <v>5</v>
      </c>
      <c r="D53" s="208">
        <v>48400</v>
      </c>
    </row>
    <row r="54" spans="1:4" x14ac:dyDescent="0.35">
      <c r="A54" s="207">
        <v>52</v>
      </c>
      <c r="B54" s="207">
        <v>2032</v>
      </c>
      <c r="C54" s="207" t="s">
        <v>6</v>
      </c>
      <c r="D54" s="208">
        <v>48463</v>
      </c>
    </row>
    <row r="55" spans="1:4" x14ac:dyDescent="0.35">
      <c r="A55" s="207">
        <v>53</v>
      </c>
      <c r="B55" s="207">
        <v>2032</v>
      </c>
      <c r="C55" s="207" t="s">
        <v>7</v>
      </c>
      <c r="D55" s="208">
        <v>48543</v>
      </c>
    </row>
    <row r="56" spans="1:4" x14ac:dyDescent="0.35">
      <c r="A56" s="207">
        <v>54</v>
      </c>
      <c r="B56" s="207">
        <v>2032</v>
      </c>
      <c r="C56" s="207" t="s">
        <v>8</v>
      </c>
      <c r="D56" s="208">
        <v>48544</v>
      </c>
    </row>
    <row r="57" spans="1:4" x14ac:dyDescent="0.35">
      <c r="A57" s="207">
        <v>55</v>
      </c>
      <c r="B57" s="207">
        <v>2032</v>
      </c>
      <c r="C57" s="207" t="s">
        <v>9</v>
      </c>
      <c r="D57" s="208">
        <v>48575</v>
      </c>
    </row>
    <row r="58" spans="1:4" x14ac:dyDescent="0.35">
      <c r="A58" s="207">
        <v>56</v>
      </c>
      <c r="B58" s="207">
        <v>2033</v>
      </c>
      <c r="C58" s="207" t="s">
        <v>3</v>
      </c>
      <c r="D58" s="208">
        <v>48582</v>
      </c>
    </row>
    <row r="59" spans="1:4" x14ac:dyDescent="0.35">
      <c r="A59" s="207">
        <v>57</v>
      </c>
      <c r="B59" s="207">
        <v>2033</v>
      </c>
      <c r="C59" s="207" t="s">
        <v>4</v>
      </c>
      <c r="D59" s="208">
        <v>48729</v>
      </c>
    </row>
    <row r="60" spans="1:4" x14ac:dyDescent="0.35">
      <c r="A60" s="207">
        <v>58</v>
      </c>
      <c r="B60" s="207">
        <v>2033</v>
      </c>
      <c r="C60" s="207" t="s">
        <v>5</v>
      </c>
      <c r="D60" s="208">
        <v>48764</v>
      </c>
    </row>
    <row r="61" spans="1:4" x14ac:dyDescent="0.35">
      <c r="A61" s="207">
        <v>59</v>
      </c>
      <c r="B61" s="207">
        <v>2033</v>
      </c>
      <c r="C61" s="207" t="s">
        <v>6</v>
      </c>
      <c r="D61" s="208">
        <v>48827</v>
      </c>
    </row>
    <row r="62" spans="1:4" x14ac:dyDescent="0.35">
      <c r="A62" s="207">
        <v>60</v>
      </c>
      <c r="B62" s="207">
        <v>2033</v>
      </c>
      <c r="C62" s="207" t="s">
        <v>7</v>
      </c>
      <c r="D62" s="208">
        <v>48907</v>
      </c>
    </row>
    <row r="63" spans="1:4" x14ac:dyDescent="0.35">
      <c r="A63" s="207">
        <v>61</v>
      </c>
      <c r="B63" s="207">
        <v>2033</v>
      </c>
      <c r="C63" s="207" t="s">
        <v>8</v>
      </c>
      <c r="D63" s="208">
        <v>48908</v>
      </c>
    </row>
    <row r="64" spans="1:4" x14ac:dyDescent="0.35">
      <c r="A64" s="207">
        <v>62</v>
      </c>
      <c r="B64" s="207">
        <v>2033</v>
      </c>
      <c r="C64" s="207" t="s">
        <v>9</v>
      </c>
      <c r="D64" s="208">
        <v>48939</v>
      </c>
    </row>
    <row r="65" spans="1:4" x14ac:dyDescent="0.35">
      <c r="A65" s="207">
        <v>63</v>
      </c>
      <c r="B65" s="207">
        <v>2034</v>
      </c>
      <c r="C65" s="207" t="s">
        <v>3</v>
      </c>
      <c r="D65" s="208">
        <v>48946</v>
      </c>
    </row>
    <row r="66" spans="1:4" x14ac:dyDescent="0.35">
      <c r="A66" s="207">
        <v>64</v>
      </c>
      <c r="B66" s="207">
        <v>2034</v>
      </c>
      <c r="C66" s="207" t="s">
        <v>4</v>
      </c>
      <c r="D66" s="208">
        <v>49093</v>
      </c>
    </row>
    <row r="67" spans="1:4" x14ac:dyDescent="0.35">
      <c r="A67" s="207">
        <v>65</v>
      </c>
      <c r="B67" s="207">
        <v>2034</v>
      </c>
      <c r="C67" s="207" t="s">
        <v>5</v>
      </c>
      <c r="D67" s="208">
        <v>49129</v>
      </c>
    </row>
    <row r="68" spans="1:4" x14ac:dyDescent="0.35">
      <c r="A68" s="207">
        <v>66</v>
      </c>
      <c r="B68" s="207">
        <v>2034</v>
      </c>
      <c r="C68" s="207" t="s">
        <v>6</v>
      </c>
      <c r="D68" s="208">
        <v>49191</v>
      </c>
    </row>
    <row r="69" spans="1:4" x14ac:dyDescent="0.35">
      <c r="A69" s="207">
        <v>67</v>
      </c>
      <c r="B69" s="207">
        <v>2034</v>
      </c>
      <c r="C69" s="207" t="s">
        <v>7</v>
      </c>
      <c r="D69" s="208">
        <v>49271</v>
      </c>
    </row>
    <row r="70" spans="1:4" x14ac:dyDescent="0.35">
      <c r="A70" s="207">
        <v>68</v>
      </c>
      <c r="B70" s="207">
        <v>2034</v>
      </c>
      <c r="C70" s="207" t="s">
        <v>8</v>
      </c>
      <c r="D70" s="208">
        <v>49272</v>
      </c>
    </row>
    <row r="71" spans="1:4" x14ac:dyDescent="0.35">
      <c r="A71" s="207">
        <v>69</v>
      </c>
      <c r="B71" s="207">
        <v>2034</v>
      </c>
      <c r="C71" s="207" t="s">
        <v>9</v>
      </c>
      <c r="D71" s="208">
        <v>49303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E8B0-256D-43BD-BCF2-D464DC488F1C}">
  <sheetPr codeName="Sheet19"/>
  <dimension ref="A1:M218"/>
  <sheetViews>
    <sheetView tabSelected="1" showWhiteSpace="0" topLeftCell="A196" workbookViewId="0">
      <selection activeCell="I210" sqref="I210"/>
    </sheetView>
  </sheetViews>
  <sheetFormatPr defaultColWidth="9.1796875" defaultRowHeight="14" x14ac:dyDescent="0.3"/>
  <cols>
    <col min="1" max="2" width="15.1796875" style="156" bestFit="1" customWidth="1"/>
    <col min="3" max="3" width="36.1796875" style="155" bestFit="1" customWidth="1"/>
    <col min="4" max="4" width="26.453125" style="155" hidden="1" customWidth="1"/>
    <col min="5" max="5" width="13.81640625" style="155" hidden="1" customWidth="1"/>
    <col min="6" max="6" width="7.54296875" style="155" hidden="1" customWidth="1"/>
    <col min="7" max="7" width="15.1796875" style="155" hidden="1" customWidth="1"/>
    <col min="8" max="8" width="20.1796875" style="155" bestFit="1" customWidth="1"/>
    <col min="9" max="9" width="16.26953125" style="155" bestFit="1" customWidth="1"/>
    <col min="10" max="10" width="13.81640625" style="155" bestFit="1" customWidth="1"/>
    <col min="11" max="11" width="10" style="155" bestFit="1" customWidth="1"/>
    <col min="12" max="12" width="9.1796875" style="155"/>
    <col min="13" max="13" width="11.26953125" style="155" bestFit="1" customWidth="1"/>
    <col min="14" max="16384" width="9.1796875" style="155"/>
  </cols>
  <sheetData>
    <row r="1" spans="1:13" x14ac:dyDescent="0.3">
      <c r="A1" s="155" t="s">
        <v>477</v>
      </c>
      <c r="B1" s="155" t="s">
        <v>478</v>
      </c>
      <c r="C1" s="155" t="s">
        <v>20</v>
      </c>
      <c r="D1" s="155" t="s">
        <v>479</v>
      </c>
      <c r="E1" s="155" t="s">
        <v>480</v>
      </c>
      <c r="F1" s="155" t="s">
        <v>481</v>
      </c>
      <c r="G1" s="155" t="s">
        <v>482</v>
      </c>
      <c r="H1" s="155" t="s">
        <v>483</v>
      </c>
      <c r="I1" s="155" t="s">
        <v>484</v>
      </c>
      <c r="J1" s="155" t="s">
        <v>485</v>
      </c>
      <c r="K1" s="155" t="s">
        <v>486</v>
      </c>
    </row>
    <row r="2" spans="1:13" x14ac:dyDescent="0.3">
      <c r="A2" s="155" t="s">
        <v>487</v>
      </c>
      <c r="B2" s="156" t="s">
        <v>45</v>
      </c>
      <c r="C2" s="155" t="s">
        <v>205</v>
      </c>
      <c r="E2" s="155">
        <v>1</v>
      </c>
      <c r="F2" s="155" t="s">
        <v>72</v>
      </c>
      <c r="H2" s="209">
        <v>0</v>
      </c>
    </row>
    <row r="3" spans="1:13" x14ac:dyDescent="0.3">
      <c r="A3" s="155" t="s">
        <v>488</v>
      </c>
      <c r="B3" s="156" t="s">
        <v>45</v>
      </c>
      <c r="C3" s="155" t="s">
        <v>71</v>
      </c>
      <c r="E3" s="155">
        <v>1</v>
      </c>
      <c r="F3" s="155" t="s">
        <v>72</v>
      </c>
      <c r="H3" s="209">
        <v>0</v>
      </c>
      <c r="M3" s="206"/>
    </row>
    <row r="4" spans="1:13" x14ac:dyDescent="0.3">
      <c r="A4" s="155" t="s">
        <v>489</v>
      </c>
      <c r="B4" s="156" t="s">
        <v>45</v>
      </c>
      <c r="C4" s="155" t="s">
        <v>73</v>
      </c>
      <c r="E4" s="155">
        <v>1</v>
      </c>
      <c r="F4" s="155" t="s">
        <v>72</v>
      </c>
      <c r="H4" s="209">
        <v>0</v>
      </c>
    </row>
    <row r="5" spans="1:13" x14ac:dyDescent="0.3">
      <c r="A5" s="155" t="s">
        <v>490</v>
      </c>
      <c r="B5" s="156" t="s">
        <v>45</v>
      </c>
      <c r="C5" s="155" t="s">
        <v>74</v>
      </c>
      <c r="E5" s="155">
        <v>1</v>
      </c>
      <c r="F5" s="155" t="s">
        <v>72</v>
      </c>
      <c r="H5" s="209">
        <v>0</v>
      </c>
    </row>
    <row r="6" spans="1:13" x14ac:dyDescent="0.3">
      <c r="A6" s="155" t="s">
        <v>491</v>
      </c>
      <c r="B6" s="156" t="s">
        <v>45</v>
      </c>
      <c r="C6" s="155" t="s">
        <v>75</v>
      </c>
      <c r="E6" s="155">
        <v>1</v>
      </c>
      <c r="F6" s="155" t="s">
        <v>72</v>
      </c>
      <c r="H6" s="209">
        <v>0</v>
      </c>
    </row>
    <row r="7" spans="1:13" x14ac:dyDescent="0.3">
      <c r="A7" s="155" t="s">
        <v>492</v>
      </c>
      <c r="B7" s="156" t="s">
        <v>45</v>
      </c>
      <c r="C7" s="155" t="s">
        <v>76</v>
      </c>
      <c r="E7" s="155">
        <v>1</v>
      </c>
      <c r="F7" s="155" t="s">
        <v>72</v>
      </c>
      <c r="H7" s="209">
        <v>0</v>
      </c>
    </row>
    <row r="8" spans="1:13" x14ac:dyDescent="0.3">
      <c r="A8" s="155" t="s">
        <v>493</v>
      </c>
      <c r="B8" s="156" t="s">
        <v>45</v>
      </c>
      <c r="C8" s="155" t="s">
        <v>464</v>
      </c>
      <c r="E8" s="155">
        <v>1</v>
      </c>
      <c r="F8" s="155" t="s">
        <v>72</v>
      </c>
      <c r="H8" s="209">
        <v>0</v>
      </c>
    </row>
    <row r="9" spans="1:13" x14ac:dyDescent="0.3">
      <c r="A9" s="155" t="s">
        <v>494</v>
      </c>
      <c r="B9" s="156" t="s">
        <v>45</v>
      </c>
      <c r="C9" s="155" t="s">
        <v>466</v>
      </c>
      <c r="E9" s="155">
        <v>1</v>
      </c>
      <c r="F9" s="155" t="s">
        <v>72</v>
      </c>
      <c r="H9" s="209">
        <v>0</v>
      </c>
    </row>
    <row r="10" spans="1:13" x14ac:dyDescent="0.3">
      <c r="A10" s="155" t="s">
        <v>495</v>
      </c>
      <c r="B10" s="156" t="s">
        <v>45</v>
      </c>
      <c r="C10" s="155" t="s">
        <v>496</v>
      </c>
      <c r="E10" s="155">
        <v>1</v>
      </c>
      <c r="F10" s="155" t="s">
        <v>72</v>
      </c>
      <c r="H10" s="209">
        <v>0</v>
      </c>
    </row>
    <row r="11" spans="1:13" x14ac:dyDescent="0.3">
      <c r="A11" s="155" t="s">
        <v>497</v>
      </c>
      <c r="B11" s="156" t="s">
        <v>498</v>
      </c>
      <c r="C11" s="155" t="s">
        <v>78</v>
      </c>
      <c r="E11" s="155">
        <v>1</v>
      </c>
      <c r="F11" s="155" t="s">
        <v>72</v>
      </c>
      <c r="H11" s="209">
        <v>0</v>
      </c>
    </row>
    <row r="12" spans="1:13" x14ac:dyDescent="0.3">
      <c r="A12" s="155" t="s">
        <v>499</v>
      </c>
      <c r="B12" s="156" t="s">
        <v>498</v>
      </c>
      <c r="C12" s="155" t="s">
        <v>80</v>
      </c>
      <c r="E12" s="155">
        <v>1</v>
      </c>
      <c r="F12" s="155" t="s">
        <v>72</v>
      </c>
      <c r="H12" s="209">
        <v>303186.59999999998</v>
      </c>
    </row>
    <row r="13" spans="1:13" x14ac:dyDescent="0.3">
      <c r="A13" s="155" t="s">
        <v>500</v>
      </c>
      <c r="B13" s="156" t="s">
        <v>498</v>
      </c>
      <c r="C13" s="155" t="s">
        <v>82</v>
      </c>
      <c r="E13" s="155">
        <v>1</v>
      </c>
      <c r="F13" s="155" t="s">
        <v>72</v>
      </c>
      <c r="H13" s="209">
        <v>0</v>
      </c>
    </row>
    <row r="14" spans="1:13" x14ac:dyDescent="0.3">
      <c r="A14" s="155" t="s">
        <v>501</v>
      </c>
      <c r="B14" s="156" t="s">
        <v>498</v>
      </c>
      <c r="C14" s="155" t="s">
        <v>84</v>
      </c>
      <c r="E14" s="155">
        <v>1</v>
      </c>
      <c r="F14" s="155" t="s">
        <v>72</v>
      </c>
      <c r="H14" s="209">
        <v>0</v>
      </c>
    </row>
    <row r="15" spans="1:13" x14ac:dyDescent="0.3">
      <c r="A15" s="155" t="s">
        <v>502</v>
      </c>
      <c r="B15" s="156" t="s">
        <v>498</v>
      </c>
      <c r="C15" s="155" t="s">
        <v>64</v>
      </c>
      <c r="E15" s="155">
        <v>1</v>
      </c>
      <c r="F15" s="155" t="s">
        <v>72</v>
      </c>
      <c r="H15" s="209">
        <v>280728.33333333331</v>
      </c>
    </row>
    <row r="16" spans="1:13" x14ac:dyDescent="0.3">
      <c r="A16" s="155" t="s">
        <v>503</v>
      </c>
      <c r="B16" s="156" t="s">
        <v>498</v>
      </c>
      <c r="C16" s="155" t="s">
        <v>67</v>
      </c>
      <c r="E16" s="155">
        <v>1</v>
      </c>
      <c r="F16" s="155" t="s">
        <v>72</v>
      </c>
      <c r="H16" s="209">
        <v>0</v>
      </c>
    </row>
    <row r="17" spans="1:8" x14ac:dyDescent="0.3">
      <c r="A17" s="155" t="s">
        <v>504</v>
      </c>
      <c r="B17" s="156" t="s">
        <v>498</v>
      </c>
      <c r="C17" s="155" t="s">
        <v>69</v>
      </c>
      <c r="E17" s="155">
        <v>1</v>
      </c>
      <c r="F17" s="155" t="s">
        <v>72</v>
      </c>
      <c r="H17" s="209">
        <v>95447.633333333317</v>
      </c>
    </row>
    <row r="18" spans="1:8" x14ac:dyDescent="0.3">
      <c r="A18" s="155" t="s">
        <v>505</v>
      </c>
      <c r="B18" s="156" t="s">
        <v>498</v>
      </c>
      <c r="C18" s="155" t="s">
        <v>86</v>
      </c>
      <c r="E18" s="155">
        <v>1</v>
      </c>
      <c r="F18" s="155" t="s">
        <v>72</v>
      </c>
      <c r="H18" s="209">
        <v>12352.046666666667</v>
      </c>
    </row>
    <row r="19" spans="1:8" x14ac:dyDescent="0.3">
      <c r="A19" s="155" t="s">
        <v>506</v>
      </c>
      <c r="B19" s="156" t="s">
        <v>45</v>
      </c>
      <c r="C19" s="155" t="s">
        <v>507</v>
      </c>
      <c r="E19" s="155">
        <v>1</v>
      </c>
      <c r="F19" s="155" t="s">
        <v>72</v>
      </c>
      <c r="H19" s="209">
        <v>3244.8</v>
      </c>
    </row>
    <row r="20" spans="1:8" x14ac:dyDescent="0.3">
      <c r="A20" s="155" t="s">
        <v>508</v>
      </c>
      <c r="B20" s="156" t="s">
        <v>45</v>
      </c>
      <c r="C20" s="155" t="s">
        <v>90</v>
      </c>
      <c r="E20" s="155">
        <v>1</v>
      </c>
      <c r="F20" s="155" t="s">
        <v>72</v>
      </c>
      <c r="H20" s="209">
        <v>6483.3333333333321</v>
      </c>
    </row>
    <row r="21" spans="1:8" x14ac:dyDescent="0.3">
      <c r="A21" s="155" t="s">
        <v>509</v>
      </c>
      <c r="B21" s="156" t="s">
        <v>45</v>
      </c>
      <c r="C21" s="155" t="s">
        <v>93</v>
      </c>
      <c r="E21" s="155">
        <v>1</v>
      </c>
      <c r="F21" s="155" t="s">
        <v>72</v>
      </c>
      <c r="H21" s="209">
        <v>3889.9999999999995</v>
      </c>
    </row>
    <row r="22" spans="1:8" x14ac:dyDescent="0.3">
      <c r="A22" s="155" t="s">
        <v>510</v>
      </c>
      <c r="B22" s="156" t="s">
        <v>45</v>
      </c>
      <c r="C22" s="155" t="s">
        <v>95</v>
      </c>
      <c r="E22" s="155">
        <v>1</v>
      </c>
      <c r="F22" s="155" t="s">
        <v>72</v>
      </c>
      <c r="H22" s="209">
        <v>0</v>
      </c>
    </row>
    <row r="23" spans="1:8" x14ac:dyDescent="0.3">
      <c r="A23" s="155" t="s">
        <v>511</v>
      </c>
      <c r="B23" s="156" t="s">
        <v>45</v>
      </c>
      <c r="C23" s="155" t="s">
        <v>97</v>
      </c>
      <c r="E23" s="155">
        <v>1</v>
      </c>
      <c r="F23" s="155" t="s">
        <v>72</v>
      </c>
      <c r="H23" s="209">
        <v>30825.599999999999</v>
      </c>
    </row>
    <row r="24" spans="1:8" x14ac:dyDescent="0.3">
      <c r="A24" s="155" t="s">
        <v>512</v>
      </c>
      <c r="B24" s="156" t="s">
        <v>45</v>
      </c>
      <c r="C24" s="155" t="s">
        <v>99</v>
      </c>
      <c r="E24" s="155">
        <v>1</v>
      </c>
      <c r="F24" s="155" t="s">
        <v>72</v>
      </c>
      <c r="H24" s="209">
        <v>0</v>
      </c>
    </row>
    <row r="25" spans="1:8" x14ac:dyDescent="0.3">
      <c r="A25" s="155" t="s">
        <v>513</v>
      </c>
      <c r="B25" s="156" t="s">
        <v>45</v>
      </c>
      <c r="C25" s="155" t="s">
        <v>514</v>
      </c>
      <c r="E25" s="155">
        <v>1</v>
      </c>
      <c r="F25" s="155" t="s">
        <v>72</v>
      </c>
      <c r="H25" s="209">
        <v>20021.666666666664</v>
      </c>
    </row>
    <row r="26" spans="1:8" x14ac:dyDescent="0.3">
      <c r="A26" s="155" t="s">
        <v>515</v>
      </c>
      <c r="B26" s="156" t="s">
        <v>45</v>
      </c>
      <c r="C26" s="155" t="s">
        <v>102</v>
      </c>
      <c r="E26" s="155">
        <v>1</v>
      </c>
      <c r="F26" s="155" t="s">
        <v>72</v>
      </c>
      <c r="H26" s="209">
        <v>1750.4999999999998</v>
      </c>
    </row>
    <row r="27" spans="1:8" x14ac:dyDescent="0.3">
      <c r="A27" s="155" t="s">
        <v>516</v>
      </c>
      <c r="B27" s="156" t="s">
        <v>45</v>
      </c>
      <c r="C27" s="155" t="s">
        <v>104</v>
      </c>
      <c r="E27" s="155">
        <v>1</v>
      </c>
      <c r="F27" s="155" t="s">
        <v>72</v>
      </c>
      <c r="H27" s="209">
        <v>3241.6666666666661</v>
      </c>
    </row>
    <row r="28" spans="1:8" x14ac:dyDescent="0.3">
      <c r="A28" s="155" t="s">
        <v>517</v>
      </c>
      <c r="B28" s="156" t="s">
        <v>45</v>
      </c>
      <c r="C28" s="155" t="s">
        <v>106</v>
      </c>
      <c r="E28" s="155">
        <v>1</v>
      </c>
      <c r="F28" s="155" t="s">
        <v>72</v>
      </c>
      <c r="H28" s="209">
        <v>3889.9999999999995</v>
      </c>
    </row>
    <row r="29" spans="1:8" x14ac:dyDescent="0.3">
      <c r="A29" s="155" t="s">
        <v>518</v>
      </c>
      <c r="B29" s="156" t="s">
        <v>45</v>
      </c>
      <c r="C29" s="155" t="s">
        <v>108</v>
      </c>
      <c r="E29" s="155">
        <v>1</v>
      </c>
      <c r="F29" s="155" t="s">
        <v>72</v>
      </c>
      <c r="H29" s="209">
        <v>0</v>
      </c>
    </row>
    <row r="30" spans="1:8" x14ac:dyDescent="0.3">
      <c r="A30" s="155" t="s">
        <v>519</v>
      </c>
      <c r="B30" s="156" t="s">
        <v>45</v>
      </c>
      <c r="C30" s="155" t="s">
        <v>110</v>
      </c>
      <c r="E30" s="155">
        <v>1</v>
      </c>
      <c r="F30" s="155" t="s">
        <v>72</v>
      </c>
      <c r="H30" s="209">
        <v>58500</v>
      </c>
    </row>
    <row r="31" spans="1:8" x14ac:dyDescent="0.3">
      <c r="A31" s="155" t="s">
        <v>520</v>
      </c>
      <c r="B31" s="156" t="s">
        <v>45</v>
      </c>
      <c r="C31" s="155" t="s">
        <v>112</v>
      </c>
      <c r="E31" s="155">
        <v>1</v>
      </c>
      <c r="F31" s="155" t="s">
        <v>72</v>
      </c>
      <c r="H31" s="209">
        <v>12966.666666666664</v>
      </c>
    </row>
    <row r="32" spans="1:8" x14ac:dyDescent="0.3">
      <c r="A32" s="155" t="s">
        <v>521</v>
      </c>
      <c r="B32" s="156" t="s">
        <v>45</v>
      </c>
      <c r="C32" s="155" t="s">
        <v>114</v>
      </c>
      <c r="E32" s="155">
        <v>1</v>
      </c>
      <c r="F32" s="155" t="s">
        <v>72</v>
      </c>
      <c r="H32" s="209">
        <v>3944.2</v>
      </c>
    </row>
    <row r="33" spans="1:8" x14ac:dyDescent="0.3">
      <c r="A33" s="155" t="s">
        <v>522</v>
      </c>
      <c r="B33" s="156" t="s">
        <v>45</v>
      </c>
      <c r="C33" s="155" t="s">
        <v>116</v>
      </c>
      <c r="E33" s="155">
        <v>1</v>
      </c>
      <c r="F33" s="155" t="s">
        <v>72</v>
      </c>
      <c r="H33" s="209">
        <v>5000</v>
      </c>
    </row>
    <row r="34" spans="1:8" x14ac:dyDescent="0.3">
      <c r="A34" s="155" t="s">
        <v>523</v>
      </c>
      <c r="B34" s="156" t="s">
        <v>45</v>
      </c>
      <c r="C34" s="155" t="s">
        <v>118</v>
      </c>
      <c r="E34" s="155">
        <v>1</v>
      </c>
      <c r="F34" s="155" t="s">
        <v>72</v>
      </c>
      <c r="H34" s="209">
        <v>32416.666666666664</v>
      </c>
    </row>
    <row r="35" spans="1:8" x14ac:dyDescent="0.3">
      <c r="A35" s="155" t="s">
        <v>524</v>
      </c>
      <c r="B35" s="156" t="s">
        <v>45</v>
      </c>
      <c r="C35" s="155" t="s">
        <v>120</v>
      </c>
      <c r="E35" s="155">
        <v>1</v>
      </c>
      <c r="F35" s="155" t="s">
        <v>72</v>
      </c>
      <c r="H35" s="209">
        <v>900</v>
      </c>
    </row>
    <row r="36" spans="1:8" x14ac:dyDescent="0.3">
      <c r="A36" s="155" t="s">
        <v>525</v>
      </c>
      <c r="B36" s="156" t="s">
        <v>45</v>
      </c>
      <c r="C36" s="155" t="s">
        <v>122</v>
      </c>
      <c r="E36" s="155">
        <v>1</v>
      </c>
      <c r="F36" s="155" t="s">
        <v>72</v>
      </c>
      <c r="H36" s="209">
        <v>3241.6666666666661</v>
      </c>
    </row>
    <row r="37" spans="1:8" x14ac:dyDescent="0.3">
      <c r="A37" s="155" t="s">
        <v>526</v>
      </c>
      <c r="B37" s="156" t="s">
        <v>45</v>
      </c>
      <c r="C37" s="155" t="s">
        <v>124</v>
      </c>
      <c r="E37" s="155">
        <v>1</v>
      </c>
      <c r="F37" s="155" t="s">
        <v>72</v>
      </c>
      <c r="H37" s="209">
        <v>4538.333333333333</v>
      </c>
    </row>
    <row r="38" spans="1:8" x14ac:dyDescent="0.3">
      <c r="A38" s="155" t="s">
        <v>527</v>
      </c>
      <c r="B38" s="156" t="s">
        <v>45</v>
      </c>
      <c r="C38" s="155" t="s">
        <v>126</v>
      </c>
      <c r="E38" s="155">
        <v>1</v>
      </c>
      <c r="F38" s="155" t="s">
        <v>72</v>
      </c>
      <c r="H38" s="209">
        <v>0</v>
      </c>
    </row>
    <row r="39" spans="1:8" x14ac:dyDescent="0.3">
      <c r="A39" s="155" t="s">
        <v>528</v>
      </c>
      <c r="B39" s="156" t="s">
        <v>45</v>
      </c>
      <c r="C39" s="155" t="s">
        <v>128</v>
      </c>
      <c r="E39" s="155">
        <v>1</v>
      </c>
      <c r="F39" s="155" t="s">
        <v>72</v>
      </c>
      <c r="H39" s="209">
        <v>0</v>
      </c>
    </row>
    <row r="40" spans="1:8" x14ac:dyDescent="0.3">
      <c r="A40" s="155" t="s">
        <v>529</v>
      </c>
      <c r="B40" s="156" t="s">
        <v>45</v>
      </c>
      <c r="C40" s="155" t="s">
        <v>130</v>
      </c>
      <c r="E40" s="155">
        <v>1</v>
      </c>
      <c r="F40" s="155" t="s">
        <v>72</v>
      </c>
      <c r="H40" s="209">
        <v>0</v>
      </c>
    </row>
    <row r="41" spans="1:8" x14ac:dyDescent="0.3">
      <c r="A41" s="155" t="s">
        <v>530</v>
      </c>
      <c r="B41" s="156" t="s">
        <v>531</v>
      </c>
      <c r="C41" s="155" t="s">
        <v>159</v>
      </c>
      <c r="E41" s="155">
        <v>1</v>
      </c>
      <c r="F41" s="155" t="s">
        <v>72</v>
      </c>
      <c r="H41" s="209">
        <v>10000</v>
      </c>
    </row>
    <row r="42" spans="1:8" x14ac:dyDescent="0.3">
      <c r="A42" s="155" t="s">
        <v>532</v>
      </c>
      <c r="B42" s="156" t="s">
        <v>531</v>
      </c>
      <c r="C42" s="155" t="s">
        <v>131</v>
      </c>
      <c r="E42" s="155">
        <v>1</v>
      </c>
      <c r="F42" s="155" t="s">
        <v>72</v>
      </c>
      <c r="H42" s="209">
        <v>0</v>
      </c>
    </row>
    <row r="43" spans="1:8" x14ac:dyDescent="0.3">
      <c r="A43" s="155" t="s">
        <v>533</v>
      </c>
      <c r="B43" s="156" t="s">
        <v>531</v>
      </c>
      <c r="C43" s="155" t="s">
        <v>133</v>
      </c>
      <c r="E43" s="155">
        <v>1</v>
      </c>
      <c r="F43" s="155" t="s">
        <v>72</v>
      </c>
      <c r="H43" s="209">
        <v>0</v>
      </c>
    </row>
    <row r="44" spans="1:8" x14ac:dyDescent="0.3">
      <c r="A44" s="155" t="s">
        <v>534</v>
      </c>
      <c r="B44" s="156" t="s">
        <v>531</v>
      </c>
      <c r="C44" s="155" t="s">
        <v>161</v>
      </c>
      <c r="E44" s="155">
        <v>1</v>
      </c>
      <c r="F44" s="155" t="s">
        <v>72</v>
      </c>
      <c r="H44" s="209">
        <v>68400</v>
      </c>
    </row>
    <row r="45" spans="1:8" x14ac:dyDescent="0.3">
      <c r="A45" s="155" t="s">
        <v>535</v>
      </c>
      <c r="B45" s="156" t="s">
        <v>45</v>
      </c>
      <c r="C45" s="155" t="s">
        <v>536</v>
      </c>
      <c r="E45" s="155">
        <v>1</v>
      </c>
      <c r="F45" s="155" t="s">
        <v>72</v>
      </c>
      <c r="H45" s="209">
        <v>0</v>
      </c>
    </row>
    <row r="46" spans="1:8" x14ac:dyDescent="0.3">
      <c r="A46" s="155" t="s">
        <v>537</v>
      </c>
      <c r="B46" s="156" t="s">
        <v>45</v>
      </c>
      <c r="C46" s="155" t="s">
        <v>538</v>
      </c>
      <c r="E46" s="155">
        <v>1</v>
      </c>
      <c r="F46" s="155" t="s">
        <v>72</v>
      </c>
      <c r="H46" s="209">
        <v>6483.3333333333321</v>
      </c>
    </row>
    <row r="47" spans="1:8" x14ac:dyDescent="0.3">
      <c r="A47" s="155" t="s">
        <v>539</v>
      </c>
      <c r="B47" s="156" t="s">
        <v>45</v>
      </c>
      <c r="C47" s="155" t="s">
        <v>140</v>
      </c>
      <c r="E47" s="155">
        <v>1</v>
      </c>
      <c r="F47" s="155" t="s">
        <v>72</v>
      </c>
      <c r="H47" s="209">
        <v>5916.3</v>
      </c>
    </row>
    <row r="48" spans="1:8" x14ac:dyDescent="0.3">
      <c r="A48" s="155" t="s">
        <v>540</v>
      </c>
      <c r="B48" s="156" t="s">
        <v>45</v>
      </c>
      <c r="C48" s="155" t="s">
        <v>142</v>
      </c>
      <c r="E48" s="155">
        <v>1</v>
      </c>
      <c r="F48" s="155" t="s">
        <v>72</v>
      </c>
      <c r="H48" s="209">
        <v>5000</v>
      </c>
    </row>
    <row r="49" spans="1:8" x14ac:dyDescent="0.3">
      <c r="A49" s="155" t="s">
        <v>541</v>
      </c>
      <c r="B49" s="156" t="s">
        <v>45</v>
      </c>
      <c r="C49" s="155" t="s">
        <v>144</v>
      </c>
      <c r="E49" s="155">
        <v>1</v>
      </c>
      <c r="F49" s="155" t="s">
        <v>72</v>
      </c>
      <c r="H49" s="209">
        <v>0</v>
      </c>
    </row>
    <row r="50" spans="1:8" x14ac:dyDescent="0.3">
      <c r="A50" s="155" t="s">
        <v>542</v>
      </c>
      <c r="B50" s="156" t="s">
        <v>45</v>
      </c>
      <c r="C50" s="155" t="s">
        <v>146</v>
      </c>
      <c r="E50" s="155">
        <v>1</v>
      </c>
      <c r="F50" s="155" t="s">
        <v>72</v>
      </c>
      <c r="H50" s="209">
        <v>18000</v>
      </c>
    </row>
    <row r="51" spans="1:8" x14ac:dyDescent="0.3">
      <c r="A51" s="155" t="s">
        <v>543</v>
      </c>
      <c r="B51" s="156" t="s">
        <v>45</v>
      </c>
      <c r="C51" s="155" t="s">
        <v>148</v>
      </c>
      <c r="E51" s="155">
        <v>1</v>
      </c>
      <c r="F51" s="155" t="s">
        <v>72</v>
      </c>
      <c r="H51" s="209">
        <v>6000</v>
      </c>
    </row>
    <row r="52" spans="1:8" x14ac:dyDescent="0.3">
      <c r="A52" s="155" t="s">
        <v>544</v>
      </c>
      <c r="B52" s="156" t="s">
        <v>531</v>
      </c>
      <c r="C52" s="155" t="s">
        <v>150</v>
      </c>
      <c r="E52" s="155">
        <v>1</v>
      </c>
      <c r="F52" s="155" t="s">
        <v>72</v>
      </c>
      <c r="H52" s="209">
        <v>25000</v>
      </c>
    </row>
    <row r="53" spans="1:8" x14ac:dyDescent="0.3">
      <c r="A53" s="155" t="s">
        <v>545</v>
      </c>
      <c r="B53" s="156" t="s">
        <v>45</v>
      </c>
      <c r="C53" s="155" t="s">
        <v>152</v>
      </c>
      <c r="E53" s="155">
        <v>1</v>
      </c>
      <c r="F53" s="155" t="s">
        <v>72</v>
      </c>
      <c r="H53" s="209">
        <v>0</v>
      </c>
    </row>
    <row r="54" spans="1:8" x14ac:dyDescent="0.3">
      <c r="A54" s="155" t="s">
        <v>546</v>
      </c>
      <c r="B54" s="156" t="s">
        <v>45</v>
      </c>
      <c r="C54" s="155" t="s">
        <v>154</v>
      </c>
      <c r="E54" s="155">
        <v>1</v>
      </c>
      <c r="F54" s="155" t="s">
        <v>72</v>
      </c>
      <c r="H54" s="209">
        <v>0</v>
      </c>
    </row>
    <row r="55" spans="1:8" x14ac:dyDescent="0.3">
      <c r="A55" s="155" t="s">
        <v>547</v>
      </c>
      <c r="B55" s="156" t="s">
        <v>45</v>
      </c>
      <c r="C55" s="155" t="s">
        <v>156</v>
      </c>
      <c r="E55" s="155">
        <v>1</v>
      </c>
      <c r="F55" s="155" t="s">
        <v>72</v>
      </c>
      <c r="H55" s="209">
        <v>12966.666666666664</v>
      </c>
    </row>
    <row r="56" spans="1:8" x14ac:dyDescent="0.3">
      <c r="A56" s="155" t="s">
        <v>548</v>
      </c>
      <c r="B56" s="156" t="s">
        <v>45</v>
      </c>
      <c r="C56" s="155" t="s">
        <v>549</v>
      </c>
      <c r="E56" s="155">
        <v>1</v>
      </c>
      <c r="F56" s="155" t="s">
        <v>72</v>
      </c>
      <c r="H56" s="209">
        <v>0</v>
      </c>
    </row>
    <row r="57" spans="1:8" x14ac:dyDescent="0.3">
      <c r="A57" s="155" t="s">
        <v>550</v>
      </c>
      <c r="B57" s="156" t="s">
        <v>45</v>
      </c>
      <c r="C57" s="155" t="s">
        <v>163</v>
      </c>
      <c r="E57" s="155">
        <v>1</v>
      </c>
      <c r="F57" s="155" t="s">
        <v>72</v>
      </c>
      <c r="H57" s="209">
        <v>400</v>
      </c>
    </row>
    <row r="58" spans="1:8" x14ac:dyDescent="0.3">
      <c r="A58" s="155" t="s">
        <v>551</v>
      </c>
      <c r="B58" s="156" t="s">
        <v>531</v>
      </c>
      <c r="C58" s="155" t="s">
        <v>165</v>
      </c>
      <c r="E58" s="155">
        <v>1</v>
      </c>
      <c r="F58" s="155" t="s">
        <v>72</v>
      </c>
      <c r="H58" s="209">
        <v>20000</v>
      </c>
    </row>
    <row r="59" spans="1:8" x14ac:dyDescent="0.3">
      <c r="A59" s="155" t="s">
        <v>552</v>
      </c>
      <c r="B59" s="156" t="s">
        <v>45</v>
      </c>
      <c r="C59" s="155" t="s">
        <v>167</v>
      </c>
      <c r="E59" s="155">
        <v>1</v>
      </c>
      <c r="F59" s="155" t="s">
        <v>72</v>
      </c>
      <c r="H59" s="209">
        <v>0</v>
      </c>
    </row>
    <row r="60" spans="1:8" x14ac:dyDescent="0.3">
      <c r="A60" s="155" t="s">
        <v>553</v>
      </c>
      <c r="B60" s="156" t="s">
        <v>45</v>
      </c>
      <c r="C60" s="155" t="s">
        <v>169</v>
      </c>
      <c r="E60" s="155">
        <v>1</v>
      </c>
      <c r="F60" s="155" t="s">
        <v>72</v>
      </c>
      <c r="H60" s="209">
        <v>1300</v>
      </c>
    </row>
    <row r="61" spans="1:8" x14ac:dyDescent="0.3">
      <c r="A61" s="155" t="s">
        <v>554</v>
      </c>
      <c r="B61" s="156" t="s">
        <v>45</v>
      </c>
      <c r="C61" s="155" t="s">
        <v>171</v>
      </c>
      <c r="E61" s="155">
        <v>1</v>
      </c>
      <c r="F61" s="155" t="s">
        <v>72</v>
      </c>
      <c r="H61" s="209">
        <v>0</v>
      </c>
    </row>
    <row r="62" spans="1:8" x14ac:dyDescent="0.3">
      <c r="A62" s="155" t="s">
        <v>555</v>
      </c>
      <c r="B62" s="156" t="s">
        <v>45</v>
      </c>
      <c r="C62" s="155" t="s">
        <v>173</v>
      </c>
      <c r="E62" s="155">
        <v>1</v>
      </c>
      <c r="F62" s="155" t="s">
        <v>72</v>
      </c>
      <c r="H62" s="209">
        <v>0</v>
      </c>
    </row>
    <row r="63" spans="1:8" x14ac:dyDescent="0.3">
      <c r="A63" s="155" t="s">
        <v>556</v>
      </c>
      <c r="B63" s="156" t="s">
        <v>45</v>
      </c>
      <c r="C63" s="155" t="s">
        <v>175</v>
      </c>
      <c r="E63" s="155">
        <v>1</v>
      </c>
      <c r="F63" s="155" t="s">
        <v>72</v>
      </c>
      <c r="H63" s="209">
        <v>0</v>
      </c>
    </row>
    <row r="64" spans="1:8" x14ac:dyDescent="0.3">
      <c r="A64" s="155" t="s">
        <v>557</v>
      </c>
      <c r="B64" s="156" t="s">
        <v>45</v>
      </c>
      <c r="C64" s="155" t="s">
        <v>177</v>
      </c>
      <c r="E64" s="155">
        <v>1</v>
      </c>
      <c r="F64" s="155" t="s">
        <v>72</v>
      </c>
      <c r="H64" s="209">
        <v>0</v>
      </c>
    </row>
    <row r="65" spans="1:8" x14ac:dyDescent="0.3">
      <c r="A65" s="155" t="s">
        <v>558</v>
      </c>
      <c r="B65" s="156" t="s">
        <v>45</v>
      </c>
      <c r="C65" s="155" t="s">
        <v>179</v>
      </c>
      <c r="E65" s="155">
        <v>1</v>
      </c>
      <c r="F65" s="155" t="s">
        <v>72</v>
      </c>
      <c r="H65" s="209">
        <v>0</v>
      </c>
    </row>
    <row r="66" spans="1:8" x14ac:dyDescent="0.3">
      <c r="A66" s="155" t="s">
        <v>559</v>
      </c>
      <c r="B66" s="156" t="s">
        <v>45</v>
      </c>
      <c r="C66" s="155" t="s">
        <v>181</v>
      </c>
      <c r="E66" s="155">
        <v>1</v>
      </c>
      <c r="F66" s="155" t="s">
        <v>72</v>
      </c>
      <c r="H66" s="209">
        <v>0</v>
      </c>
    </row>
    <row r="67" spans="1:8" x14ac:dyDescent="0.3">
      <c r="A67" s="155" t="s">
        <v>560</v>
      </c>
      <c r="B67" s="156" t="s">
        <v>45</v>
      </c>
      <c r="C67" s="155" t="s">
        <v>183</v>
      </c>
      <c r="E67" s="155">
        <v>1</v>
      </c>
      <c r="F67" s="155" t="s">
        <v>72</v>
      </c>
      <c r="H67" s="209">
        <v>10000</v>
      </c>
    </row>
    <row r="68" spans="1:8" x14ac:dyDescent="0.3">
      <c r="A68" s="155" t="s">
        <v>561</v>
      </c>
      <c r="B68" s="156" t="s">
        <v>45</v>
      </c>
      <c r="C68" s="155" t="s">
        <v>185</v>
      </c>
      <c r="E68" s="155">
        <v>1</v>
      </c>
      <c r="F68" s="155" t="s">
        <v>72</v>
      </c>
      <c r="H68" s="209">
        <v>0</v>
      </c>
    </row>
    <row r="69" spans="1:8" x14ac:dyDescent="0.3">
      <c r="A69" s="155" t="s">
        <v>562</v>
      </c>
      <c r="B69" s="156" t="s">
        <v>45</v>
      </c>
      <c r="C69" s="155" t="s">
        <v>187</v>
      </c>
      <c r="E69" s="155">
        <v>1</v>
      </c>
      <c r="F69" s="155" t="s">
        <v>72</v>
      </c>
      <c r="H69" s="209">
        <v>6000</v>
      </c>
    </row>
    <row r="70" spans="1:8" x14ac:dyDescent="0.3">
      <c r="A70" s="155" t="s">
        <v>563</v>
      </c>
      <c r="B70" s="156" t="s">
        <v>45</v>
      </c>
      <c r="C70" s="155" t="s">
        <v>189</v>
      </c>
      <c r="E70" s="155">
        <v>1</v>
      </c>
      <c r="F70" s="155" t="s">
        <v>72</v>
      </c>
      <c r="H70" s="209">
        <v>24000</v>
      </c>
    </row>
    <row r="71" spans="1:8" x14ac:dyDescent="0.3">
      <c r="A71" s="155" t="s">
        <v>564</v>
      </c>
      <c r="B71" s="156" t="s">
        <v>45</v>
      </c>
      <c r="C71" s="155" t="s">
        <v>191</v>
      </c>
      <c r="E71" s="155">
        <v>1</v>
      </c>
      <c r="F71" s="155" t="s">
        <v>72</v>
      </c>
      <c r="H71" s="209">
        <v>3889.9999999999995</v>
      </c>
    </row>
    <row r="72" spans="1:8" x14ac:dyDescent="0.3">
      <c r="A72" s="155" t="s">
        <v>565</v>
      </c>
      <c r="B72" s="156" t="s">
        <v>45</v>
      </c>
      <c r="C72" s="155" t="s">
        <v>566</v>
      </c>
      <c r="E72" s="155">
        <v>1</v>
      </c>
      <c r="F72" s="155" t="s">
        <v>72</v>
      </c>
      <c r="H72" s="209">
        <v>0</v>
      </c>
    </row>
    <row r="73" spans="1:8" x14ac:dyDescent="0.3">
      <c r="A73" s="155" t="s">
        <v>567</v>
      </c>
      <c r="B73" s="156" t="s">
        <v>45</v>
      </c>
      <c r="C73" s="155" t="s">
        <v>194</v>
      </c>
      <c r="E73" s="155">
        <v>1</v>
      </c>
      <c r="F73" s="155" t="s">
        <v>72</v>
      </c>
      <c r="H73" s="209">
        <v>0</v>
      </c>
    </row>
    <row r="74" spans="1:8" x14ac:dyDescent="0.3">
      <c r="A74" s="155" t="s">
        <v>568</v>
      </c>
      <c r="B74" s="156" t="s">
        <v>45</v>
      </c>
      <c r="C74" s="155" t="s">
        <v>196</v>
      </c>
      <c r="E74" s="155">
        <v>1</v>
      </c>
      <c r="F74" s="155" t="s">
        <v>72</v>
      </c>
      <c r="H74" s="209">
        <v>0</v>
      </c>
    </row>
    <row r="75" spans="1:8" x14ac:dyDescent="0.3">
      <c r="A75" s="155" t="s">
        <v>569</v>
      </c>
      <c r="B75" s="156" t="s">
        <v>45</v>
      </c>
      <c r="C75" s="155" t="s">
        <v>198</v>
      </c>
      <c r="E75" s="155">
        <v>1</v>
      </c>
      <c r="F75" s="155" t="s">
        <v>72</v>
      </c>
      <c r="H75" s="209">
        <v>0</v>
      </c>
    </row>
    <row r="76" spans="1:8" x14ac:dyDescent="0.3">
      <c r="A76" s="155" t="s">
        <v>570</v>
      </c>
      <c r="B76" s="156" t="s">
        <v>45</v>
      </c>
      <c r="C76" s="155" t="s">
        <v>200</v>
      </c>
      <c r="E76" s="155">
        <v>1</v>
      </c>
      <c r="F76" s="155" t="s">
        <v>72</v>
      </c>
      <c r="H76" s="209">
        <v>0</v>
      </c>
    </row>
    <row r="77" spans="1:8" x14ac:dyDescent="0.3">
      <c r="A77" s="155" t="s">
        <v>571</v>
      </c>
      <c r="B77" s="156" t="s">
        <v>45</v>
      </c>
      <c r="C77" s="155" t="s">
        <v>202</v>
      </c>
      <c r="E77" s="155">
        <v>1</v>
      </c>
      <c r="F77" s="155" t="s">
        <v>72</v>
      </c>
      <c r="H77" s="209">
        <v>0</v>
      </c>
    </row>
    <row r="78" spans="1:8" x14ac:dyDescent="0.3">
      <c r="A78" s="155" t="s">
        <v>572</v>
      </c>
      <c r="B78" s="156" t="s">
        <v>531</v>
      </c>
      <c r="C78" s="155" t="s">
        <v>573</v>
      </c>
      <c r="E78" s="155">
        <v>1</v>
      </c>
      <c r="F78" s="155" t="s">
        <v>72</v>
      </c>
      <c r="H78" s="209">
        <v>838943</v>
      </c>
    </row>
    <row r="79" spans="1:8" x14ac:dyDescent="0.3">
      <c r="A79" s="155" t="s">
        <v>574</v>
      </c>
      <c r="B79" s="156" t="s">
        <v>531</v>
      </c>
      <c r="C79" s="155" t="s">
        <v>212</v>
      </c>
      <c r="E79" s="155">
        <v>1</v>
      </c>
      <c r="F79" s="155" t="s">
        <v>72</v>
      </c>
      <c r="H79" s="209">
        <v>0</v>
      </c>
    </row>
    <row r="80" spans="1:8" x14ac:dyDescent="0.3">
      <c r="A80" s="155" t="s">
        <v>575</v>
      </c>
      <c r="B80" s="156" t="s">
        <v>531</v>
      </c>
      <c r="C80" s="155" t="s">
        <v>32</v>
      </c>
      <c r="E80" s="155">
        <v>1</v>
      </c>
      <c r="F80" s="155" t="s">
        <v>72</v>
      </c>
      <c r="H80" s="209">
        <v>815780</v>
      </c>
    </row>
    <row r="81" spans="1:8" x14ac:dyDescent="0.3">
      <c r="A81" s="155" t="s">
        <v>576</v>
      </c>
      <c r="B81" s="156" t="s">
        <v>531</v>
      </c>
      <c r="C81" s="155" t="s">
        <v>214</v>
      </c>
      <c r="E81" s="155">
        <v>1</v>
      </c>
      <c r="F81" s="155" t="s">
        <v>72</v>
      </c>
      <c r="H81" s="209">
        <v>0</v>
      </c>
    </row>
    <row r="82" spans="1:8" x14ac:dyDescent="0.3">
      <c r="A82" s="155" t="s">
        <v>577</v>
      </c>
      <c r="B82" s="156" t="s">
        <v>531</v>
      </c>
      <c r="C82" s="155" t="s">
        <v>578</v>
      </c>
      <c r="E82" s="155">
        <v>1</v>
      </c>
      <c r="F82" s="155" t="s">
        <v>72</v>
      </c>
      <c r="H82" s="209">
        <v>178382</v>
      </c>
    </row>
    <row r="83" spans="1:8" x14ac:dyDescent="0.3">
      <c r="A83" s="155" t="s">
        <v>579</v>
      </c>
      <c r="B83" s="156" t="s">
        <v>531</v>
      </c>
      <c r="C83" s="155" t="s">
        <v>216</v>
      </c>
      <c r="E83" s="155">
        <v>1</v>
      </c>
      <c r="F83" s="155" t="s">
        <v>72</v>
      </c>
      <c r="H83" s="209">
        <v>436070.9200000001</v>
      </c>
    </row>
    <row r="84" spans="1:8" x14ac:dyDescent="0.3">
      <c r="A84" s="155" t="s">
        <v>580</v>
      </c>
      <c r="B84" s="156" t="s">
        <v>531</v>
      </c>
      <c r="C84" s="155" t="s">
        <v>581</v>
      </c>
      <c r="E84" s="155">
        <v>1</v>
      </c>
      <c r="F84" s="155" t="s">
        <v>72</v>
      </c>
      <c r="H84" s="209">
        <v>105000</v>
      </c>
    </row>
    <row r="85" spans="1:8" x14ac:dyDescent="0.3">
      <c r="A85" s="155" t="s">
        <v>582</v>
      </c>
      <c r="B85" s="156" t="s">
        <v>45</v>
      </c>
      <c r="C85" s="155" t="s">
        <v>220</v>
      </c>
      <c r="E85" s="155">
        <v>1</v>
      </c>
      <c r="F85" s="155" t="s">
        <v>72</v>
      </c>
      <c r="H85" s="209">
        <v>10000</v>
      </c>
    </row>
    <row r="86" spans="1:8" x14ac:dyDescent="0.3">
      <c r="A86" s="155" t="s">
        <v>583</v>
      </c>
      <c r="B86" s="156" t="s">
        <v>531</v>
      </c>
      <c r="C86" s="155" t="s">
        <v>584</v>
      </c>
      <c r="E86" s="155">
        <v>1</v>
      </c>
      <c r="F86" s="155" t="s">
        <v>72</v>
      </c>
      <c r="H86" s="209">
        <v>318600</v>
      </c>
    </row>
    <row r="87" spans="1:8" x14ac:dyDescent="0.3">
      <c r="A87" s="155" t="s">
        <v>585</v>
      </c>
      <c r="B87" s="156" t="s">
        <v>45</v>
      </c>
      <c r="C87" s="155" t="s">
        <v>586</v>
      </c>
      <c r="E87" s="155">
        <v>1</v>
      </c>
      <c r="F87" s="155" t="s">
        <v>72</v>
      </c>
      <c r="H87" s="209">
        <v>1159483</v>
      </c>
    </row>
    <row r="88" spans="1:8" x14ac:dyDescent="0.3">
      <c r="A88" s="155" t="s">
        <v>587</v>
      </c>
      <c r="B88" s="156" t="s">
        <v>531</v>
      </c>
      <c r="C88" s="155" t="s">
        <v>227</v>
      </c>
      <c r="E88" s="155">
        <v>1</v>
      </c>
      <c r="F88" s="155" t="s">
        <v>72</v>
      </c>
      <c r="H88" s="209">
        <v>668932.5</v>
      </c>
    </row>
    <row r="89" spans="1:8" x14ac:dyDescent="0.3">
      <c r="A89" s="155" t="s">
        <v>588</v>
      </c>
      <c r="B89" s="156" t="s">
        <v>45</v>
      </c>
      <c r="C89" s="155" t="s">
        <v>229</v>
      </c>
      <c r="E89" s="155">
        <v>1</v>
      </c>
      <c r="F89" s="155" t="s">
        <v>72</v>
      </c>
      <c r="H89" s="209">
        <v>1E-3</v>
      </c>
    </row>
    <row r="90" spans="1:8" x14ac:dyDescent="0.3">
      <c r="A90" s="155" t="s">
        <v>589</v>
      </c>
      <c r="B90" s="156" t="s">
        <v>45</v>
      </c>
      <c r="C90" s="155" t="s">
        <v>590</v>
      </c>
      <c r="E90" s="155">
        <v>1</v>
      </c>
      <c r="F90" s="155" t="s">
        <v>72</v>
      </c>
      <c r="H90" s="209">
        <v>1E-3</v>
      </c>
    </row>
    <row r="91" spans="1:8" x14ac:dyDescent="0.3">
      <c r="A91" s="155" t="s">
        <v>591</v>
      </c>
      <c r="B91" s="156" t="s">
        <v>45</v>
      </c>
      <c r="C91" s="155" t="s">
        <v>233</v>
      </c>
      <c r="E91" s="155">
        <v>1</v>
      </c>
      <c r="F91" s="155" t="s">
        <v>72</v>
      </c>
      <c r="H91" s="209">
        <v>0</v>
      </c>
    </row>
    <row r="92" spans="1:8" x14ac:dyDescent="0.3">
      <c r="A92" s="155" t="s">
        <v>592</v>
      </c>
      <c r="B92" s="156" t="s">
        <v>531</v>
      </c>
      <c r="C92" s="155" t="s">
        <v>235</v>
      </c>
      <c r="E92" s="155">
        <v>1</v>
      </c>
      <c r="F92" s="155" t="s">
        <v>72</v>
      </c>
      <c r="H92" s="209">
        <v>210000</v>
      </c>
    </row>
    <row r="93" spans="1:8" x14ac:dyDescent="0.3">
      <c r="A93" s="155" t="s">
        <v>593</v>
      </c>
      <c r="B93" s="156" t="s">
        <v>45</v>
      </c>
      <c r="C93" s="155" t="s">
        <v>237</v>
      </c>
      <c r="E93" s="155">
        <v>1</v>
      </c>
      <c r="F93" s="155" t="s">
        <v>72</v>
      </c>
      <c r="H93" s="209">
        <v>170000</v>
      </c>
    </row>
    <row r="94" spans="1:8" x14ac:dyDescent="0.3">
      <c r="A94" s="155" t="s">
        <v>594</v>
      </c>
      <c r="B94" s="156" t="s">
        <v>531</v>
      </c>
      <c r="C94" s="155" t="s">
        <v>595</v>
      </c>
      <c r="E94" s="155">
        <v>1</v>
      </c>
      <c r="F94" s="155" t="s">
        <v>72</v>
      </c>
      <c r="H94" s="209">
        <v>40000</v>
      </c>
    </row>
    <row r="95" spans="1:8" x14ac:dyDescent="0.3">
      <c r="A95" s="155" t="s">
        <v>596</v>
      </c>
      <c r="B95" s="156" t="s">
        <v>531</v>
      </c>
      <c r="C95" s="155" t="s">
        <v>597</v>
      </c>
      <c r="E95" s="155">
        <v>1</v>
      </c>
      <c r="F95" s="155" t="s">
        <v>72</v>
      </c>
      <c r="H95" s="209">
        <v>0</v>
      </c>
    </row>
    <row r="96" spans="1:8" x14ac:dyDescent="0.3">
      <c r="A96" s="155" t="s">
        <v>598</v>
      </c>
      <c r="B96" s="156" t="s">
        <v>531</v>
      </c>
      <c r="C96" s="155" t="s">
        <v>599</v>
      </c>
      <c r="E96" s="155">
        <v>1</v>
      </c>
      <c r="F96" s="155" t="s">
        <v>72</v>
      </c>
      <c r="H96" s="209">
        <v>0</v>
      </c>
    </row>
    <row r="97" spans="1:8" x14ac:dyDescent="0.3">
      <c r="A97" s="155" t="s">
        <v>600</v>
      </c>
      <c r="B97" s="156" t="s">
        <v>45</v>
      </c>
      <c r="C97" s="155" t="s">
        <v>246</v>
      </c>
      <c r="E97" s="155">
        <v>1</v>
      </c>
      <c r="F97" s="155" t="s">
        <v>72</v>
      </c>
      <c r="H97" s="209">
        <v>0</v>
      </c>
    </row>
    <row r="98" spans="1:8" x14ac:dyDescent="0.3">
      <c r="A98" s="155" t="s">
        <v>601</v>
      </c>
      <c r="B98" s="156" t="s">
        <v>45</v>
      </c>
      <c r="C98" s="155" t="s">
        <v>244</v>
      </c>
      <c r="E98" s="155">
        <v>1</v>
      </c>
      <c r="F98" s="155" t="s">
        <v>72</v>
      </c>
      <c r="H98" s="209">
        <v>0</v>
      </c>
    </row>
    <row r="99" spans="1:8" x14ac:dyDescent="0.3">
      <c r="A99" s="155" t="s">
        <v>602</v>
      </c>
      <c r="B99" s="156" t="s">
        <v>531</v>
      </c>
      <c r="C99" s="155" t="s">
        <v>248</v>
      </c>
      <c r="E99" s="155">
        <v>1</v>
      </c>
      <c r="F99" s="155" t="s">
        <v>72</v>
      </c>
      <c r="H99" s="209">
        <v>15000</v>
      </c>
    </row>
    <row r="100" spans="1:8" x14ac:dyDescent="0.3">
      <c r="A100" s="155" t="s">
        <v>603</v>
      </c>
      <c r="B100" s="156" t="s">
        <v>531</v>
      </c>
      <c r="C100" s="155" t="s">
        <v>39</v>
      </c>
      <c r="E100" s="155">
        <v>1</v>
      </c>
      <c r="F100" s="155" t="s">
        <v>72</v>
      </c>
      <c r="H100" s="209">
        <v>55000</v>
      </c>
    </row>
    <row r="101" spans="1:8" x14ac:dyDescent="0.3">
      <c r="A101" s="155" t="s">
        <v>604</v>
      </c>
      <c r="B101" s="156" t="s">
        <v>531</v>
      </c>
      <c r="C101" s="155" t="s">
        <v>605</v>
      </c>
      <c r="E101" s="155">
        <v>1</v>
      </c>
      <c r="F101" s="155" t="s">
        <v>72</v>
      </c>
      <c r="H101" s="209">
        <v>83846</v>
      </c>
    </row>
    <row r="102" spans="1:8" x14ac:dyDescent="0.3">
      <c r="A102" s="155" t="s">
        <v>606</v>
      </c>
      <c r="B102" s="156" t="s">
        <v>531</v>
      </c>
      <c r="C102" s="155" t="s">
        <v>253</v>
      </c>
      <c r="E102" s="155">
        <v>1</v>
      </c>
      <c r="F102" s="155" t="s">
        <v>72</v>
      </c>
      <c r="H102" s="209">
        <v>6208</v>
      </c>
    </row>
    <row r="103" spans="1:8" x14ac:dyDescent="0.3">
      <c r="A103" s="155" t="s">
        <v>607</v>
      </c>
      <c r="B103" s="156" t="s">
        <v>531</v>
      </c>
      <c r="C103" s="155" t="s">
        <v>255</v>
      </c>
      <c r="E103" s="155">
        <v>1</v>
      </c>
      <c r="F103" s="155" t="s">
        <v>72</v>
      </c>
      <c r="H103" s="209">
        <v>223200</v>
      </c>
    </row>
    <row r="104" spans="1:8" x14ac:dyDescent="0.3">
      <c r="A104" s="155" t="s">
        <v>608</v>
      </c>
      <c r="B104" s="156" t="s">
        <v>531</v>
      </c>
      <c r="C104" s="155" t="s">
        <v>47</v>
      </c>
      <c r="E104" s="155">
        <v>1</v>
      </c>
      <c r="F104" s="155" t="s">
        <v>72</v>
      </c>
      <c r="H104" s="209">
        <v>0</v>
      </c>
    </row>
    <row r="105" spans="1:8" x14ac:dyDescent="0.3">
      <c r="A105" s="155" t="s">
        <v>609</v>
      </c>
      <c r="B105" s="156" t="s">
        <v>531</v>
      </c>
      <c r="C105" s="155" t="s">
        <v>43</v>
      </c>
      <c r="E105" s="155">
        <v>1</v>
      </c>
      <c r="F105" s="155" t="s">
        <v>72</v>
      </c>
      <c r="H105" s="209">
        <v>47171.520000000004</v>
      </c>
    </row>
    <row r="106" spans="1:8" x14ac:dyDescent="0.3">
      <c r="A106" s="155" t="s">
        <v>610</v>
      </c>
      <c r="B106" s="156" t="s">
        <v>531</v>
      </c>
      <c r="C106" s="155" t="s">
        <v>258</v>
      </c>
      <c r="E106" s="155">
        <v>1</v>
      </c>
      <c r="F106" s="155" t="s">
        <v>72</v>
      </c>
      <c r="H106" s="209">
        <v>14000</v>
      </c>
    </row>
    <row r="107" spans="1:8" x14ac:dyDescent="0.3">
      <c r="A107" s="155" t="s">
        <v>611</v>
      </c>
      <c r="B107" s="156" t="s">
        <v>531</v>
      </c>
      <c r="C107" s="155" t="s">
        <v>49</v>
      </c>
      <c r="E107" s="155">
        <v>1</v>
      </c>
      <c r="F107" s="155" t="s">
        <v>72</v>
      </c>
      <c r="H107" s="209">
        <v>121249.2</v>
      </c>
    </row>
    <row r="108" spans="1:8" x14ac:dyDescent="0.3">
      <c r="A108" s="155" t="s">
        <v>612</v>
      </c>
      <c r="B108" s="156" t="s">
        <v>531</v>
      </c>
      <c r="C108" s="155" t="s">
        <v>51</v>
      </c>
      <c r="E108" s="155">
        <v>1</v>
      </c>
      <c r="F108" s="155" t="s">
        <v>72</v>
      </c>
      <c r="H108" s="209">
        <v>49137.000000000015</v>
      </c>
    </row>
    <row r="109" spans="1:8" x14ac:dyDescent="0.3">
      <c r="A109" s="155" t="s">
        <v>613</v>
      </c>
      <c r="B109" s="156" t="s">
        <v>531</v>
      </c>
      <c r="C109" s="155" t="s">
        <v>53</v>
      </c>
      <c r="E109" s="155">
        <v>1</v>
      </c>
      <c r="F109" s="155" t="s">
        <v>72</v>
      </c>
      <c r="H109" s="209">
        <v>207554.68800000005</v>
      </c>
    </row>
    <row r="110" spans="1:8" x14ac:dyDescent="0.3">
      <c r="A110" s="155" t="s">
        <v>614</v>
      </c>
      <c r="B110" s="156" t="s">
        <v>531</v>
      </c>
      <c r="C110" s="155" t="s">
        <v>55</v>
      </c>
      <c r="E110" s="155">
        <v>1</v>
      </c>
      <c r="F110" s="155" t="s">
        <v>72</v>
      </c>
      <c r="H110" s="209">
        <v>0</v>
      </c>
    </row>
    <row r="111" spans="1:8" x14ac:dyDescent="0.3">
      <c r="A111" s="155" t="s">
        <v>615</v>
      </c>
      <c r="B111" s="156" t="s">
        <v>531</v>
      </c>
      <c r="C111" s="155" t="s">
        <v>260</v>
      </c>
      <c r="E111" s="155">
        <v>1</v>
      </c>
      <c r="F111" s="155" t="s">
        <v>72</v>
      </c>
      <c r="H111" s="209">
        <v>0</v>
      </c>
    </row>
    <row r="112" spans="1:8" x14ac:dyDescent="0.3">
      <c r="A112" s="155" t="s">
        <v>616</v>
      </c>
      <c r="B112" s="156" t="s">
        <v>531</v>
      </c>
      <c r="C112" s="155" t="s">
        <v>617</v>
      </c>
      <c r="E112" s="155">
        <v>1</v>
      </c>
      <c r="F112" s="155" t="s">
        <v>72</v>
      </c>
      <c r="H112" s="209">
        <v>10000</v>
      </c>
    </row>
    <row r="113" spans="1:8" x14ac:dyDescent="0.3">
      <c r="A113" s="155" t="s">
        <v>618</v>
      </c>
      <c r="B113" s="156" t="s">
        <v>531</v>
      </c>
      <c r="C113" s="155" t="s">
        <v>264</v>
      </c>
      <c r="E113" s="155">
        <v>1</v>
      </c>
      <c r="F113" s="155" t="s">
        <v>72</v>
      </c>
      <c r="H113" s="209">
        <v>19720</v>
      </c>
    </row>
    <row r="114" spans="1:8" x14ac:dyDescent="0.3">
      <c r="A114" s="155" t="s">
        <v>619</v>
      </c>
      <c r="B114" s="156" t="s">
        <v>531</v>
      </c>
      <c r="C114" s="155" t="s">
        <v>620</v>
      </c>
      <c r="E114" s="155">
        <v>1</v>
      </c>
      <c r="F114" s="155" t="s">
        <v>72</v>
      </c>
      <c r="H114" s="209">
        <v>3900</v>
      </c>
    </row>
    <row r="115" spans="1:8" x14ac:dyDescent="0.3">
      <c r="A115" s="155" t="s">
        <v>621</v>
      </c>
      <c r="B115" s="156" t="s">
        <v>531</v>
      </c>
      <c r="C115" s="155" t="s">
        <v>268</v>
      </c>
      <c r="E115" s="155">
        <v>1</v>
      </c>
      <c r="F115" s="155" t="s">
        <v>72</v>
      </c>
      <c r="H115" s="209">
        <v>0</v>
      </c>
    </row>
    <row r="116" spans="1:8" x14ac:dyDescent="0.3">
      <c r="A116" s="155" t="s">
        <v>622</v>
      </c>
      <c r="B116" s="156" t="s">
        <v>531</v>
      </c>
      <c r="C116" s="155" t="s">
        <v>270</v>
      </c>
      <c r="E116" s="155">
        <v>1</v>
      </c>
      <c r="F116" s="155" t="s">
        <v>72</v>
      </c>
      <c r="H116" s="209">
        <v>79200</v>
      </c>
    </row>
    <row r="117" spans="1:8" x14ac:dyDescent="0.3">
      <c r="A117" s="155" t="s">
        <v>623</v>
      </c>
      <c r="B117" s="156" t="s">
        <v>531</v>
      </c>
      <c r="C117" s="155" t="s">
        <v>272</v>
      </c>
      <c r="E117" s="155">
        <v>1</v>
      </c>
      <c r="F117" s="155" t="s">
        <v>72</v>
      </c>
      <c r="H117" s="209">
        <v>0</v>
      </c>
    </row>
    <row r="118" spans="1:8" x14ac:dyDescent="0.3">
      <c r="A118" s="155" t="s">
        <v>624</v>
      </c>
      <c r="B118" s="156" t="s">
        <v>45</v>
      </c>
      <c r="C118" s="155" t="s">
        <v>625</v>
      </c>
      <c r="E118" s="155">
        <v>1</v>
      </c>
      <c r="F118" s="155" t="s">
        <v>72</v>
      </c>
      <c r="H118" s="209">
        <v>324000</v>
      </c>
    </row>
    <row r="119" spans="1:8" x14ac:dyDescent="0.3">
      <c r="A119" s="155" t="s">
        <v>626</v>
      </c>
      <c r="B119" s="156" t="s">
        <v>45</v>
      </c>
      <c r="C119" s="155" t="s">
        <v>275</v>
      </c>
      <c r="E119" s="155">
        <v>1</v>
      </c>
      <c r="F119" s="155" t="s">
        <v>72</v>
      </c>
      <c r="H119" s="209">
        <v>0</v>
      </c>
    </row>
    <row r="120" spans="1:8" x14ac:dyDescent="0.3">
      <c r="A120" s="155" t="s">
        <v>627</v>
      </c>
      <c r="B120" s="156" t="s">
        <v>45</v>
      </c>
      <c r="C120" s="155" t="s">
        <v>277</v>
      </c>
      <c r="E120" s="155">
        <v>1</v>
      </c>
      <c r="F120" s="155" t="s">
        <v>72</v>
      </c>
      <c r="H120" s="209">
        <v>20803.68</v>
      </c>
    </row>
    <row r="121" spans="1:8" x14ac:dyDescent="0.3">
      <c r="A121" s="155" t="s">
        <v>628</v>
      </c>
      <c r="B121" s="156" t="s">
        <v>531</v>
      </c>
      <c r="C121" s="155" t="s">
        <v>279</v>
      </c>
      <c r="E121" s="155">
        <v>1</v>
      </c>
      <c r="F121" s="155" t="s">
        <v>72</v>
      </c>
      <c r="H121" s="209">
        <v>17000</v>
      </c>
    </row>
    <row r="122" spans="1:8" x14ac:dyDescent="0.3">
      <c r="A122" s="155" t="s">
        <v>629</v>
      </c>
      <c r="B122" s="156" t="s">
        <v>531</v>
      </c>
      <c r="C122" s="155" t="s">
        <v>280</v>
      </c>
      <c r="E122" s="155">
        <v>1</v>
      </c>
      <c r="F122" s="155" t="s">
        <v>72</v>
      </c>
      <c r="H122" s="209">
        <v>174428.80000000002</v>
      </c>
    </row>
    <row r="123" spans="1:8" x14ac:dyDescent="0.3">
      <c r="A123" s="155" t="s">
        <v>630</v>
      </c>
      <c r="B123" s="156" t="s">
        <v>531</v>
      </c>
      <c r="C123" s="155" t="s">
        <v>631</v>
      </c>
      <c r="E123" s="155">
        <v>1</v>
      </c>
      <c r="F123" s="155" t="s">
        <v>72</v>
      </c>
      <c r="H123" s="209">
        <v>0</v>
      </c>
    </row>
    <row r="124" spans="1:8" x14ac:dyDescent="0.3">
      <c r="A124" s="155" t="s">
        <v>632</v>
      </c>
      <c r="B124" s="156" t="s">
        <v>531</v>
      </c>
      <c r="C124" s="155" t="s">
        <v>285</v>
      </c>
      <c r="E124" s="155">
        <v>1</v>
      </c>
      <c r="F124" s="155" t="s">
        <v>72</v>
      </c>
      <c r="H124" s="209">
        <v>0</v>
      </c>
    </row>
    <row r="125" spans="1:8" x14ac:dyDescent="0.3">
      <c r="A125" s="155" t="s">
        <v>633</v>
      </c>
      <c r="B125" s="156" t="s">
        <v>45</v>
      </c>
      <c r="C125" s="155" t="s">
        <v>57</v>
      </c>
      <c r="E125" s="155">
        <v>1</v>
      </c>
      <c r="F125" s="155" t="s">
        <v>72</v>
      </c>
      <c r="H125" s="209">
        <v>247650.48100000003</v>
      </c>
    </row>
    <row r="126" spans="1:8" x14ac:dyDescent="0.3">
      <c r="A126" s="155" t="s">
        <v>634</v>
      </c>
      <c r="B126" s="156" t="s">
        <v>45</v>
      </c>
      <c r="C126" s="155" t="s">
        <v>286</v>
      </c>
      <c r="E126" s="155">
        <v>1</v>
      </c>
      <c r="F126" s="155" t="s">
        <v>72</v>
      </c>
      <c r="H126" s="209">
        <v>0</v>
      </c>
    </row>
    <row r="127" spans="1:8" x14ac:dyDescent="0.3">
      <c r="A127" s="155" t="s">
        <v>635</v>
      </c>
      <c r="B127" s="156" t="s">
        <v>531</v>
      </c>
      <c r="C127" s="155" t="s">
        <v>288</v>
      </c>
      <c r="E127" s="155">
        <v>1</v>
      </c>
      <c r="F127" s="155" t="s">
        <v>72</v>
      </c>
      <c r="H127" s="209">
        <v>0</v>
      </c>
    </row>
    <row r="128" spans="1:8" x14ac:dyDescent="0.3">
      <c r="A128" s="155" t="s">
        <v>636</v>
      </c>
      <c r="B128" s="156" t="s">
        <v>531</v>
      </c>
      <c r="C128" s="155" t="s">
        <v>290</v>
      </c>
      <c r="E128" s="155">
        <v>1</v>
      </c>
      <c r="F128" s="155" t="s">
        <v>72</v>
      </c>
      <c r="H128" s="209">
        <v>36060</v>
      </c>
    </row>
    <row r="129" spans="1:8" x14ac:dyDescent="0.3">
      <c r="A129" s="155" t="s">
        <v>637</v>
      </c>
      <c r="B129" s="156" t="s">
        <v>531</v>
      </c>
      <c r="C129" s="155" t="s">
        <v>291</v>
      </c>
      <c r="E129" s="155">
        <v>1</v>
      </c>
      <c r="F129" s="155" t="s">
        <v>72</v>
      </c>
      <c r="H129" s="209">
        <v>0</v>
      </c>
    </row>
    <row r="130" spans="1:8" x14ac:dyDescent="0.3">
      <c r="A130" s="155" t="s">
        <v>638</v>
      </c>
      <c r="B130" s="156" t="s">
        <v>531</v>
      </c>
      <c r="C130" s="155" t="s">
        <v>292</v>
      </c>
      <c r="E130" s="155">
        <v>1</v>
      </c>
      <c r="F130" s="155" t="s">
        <v>72</v>
      </c>
      <c r="H130" s="209">
        <v>0</v>
      </c>
    </row>
    <row r="131" spans="1:8" x14ac:dyDescent="0.3">
      <c r="A131" s="155" t="s">
        <v>639</v>
      </c>
      <c r="B131" s="156" t="s">
        <v>531</v>
      </c>
      <c r="C131" s="155" t="s">
        <v>294</v>
      </c>
      <c r="E131" s="155">
        <v>1</v>
      </c>
      <c r="F131" s="155" t="s">
        <v>72</v>
      </c>
      <c r="H131" s="209">
        <v>792000</v>
      </c>
    </row>
    <row r="132" spans="1:8" x14ac:dyDescent="0.3">
      <c r="A132" s="155" t="s">
        <v>640</v>
      </c>
      <c r="B132" s="156" t="s">
        <v>531</v>
      </c>
      <c r="C132" s="155" t="s">
        <v>296</v>
      </c>
      <c r="E132" s="155">
        <v>1</v>
      </c>
      <c r="F132" s="155" t="s">
        <v>72</v>
      </c>
      <c r="H132" s="209">
        <v>0</v>
      </c>
    </row>
    <row r="133" spans="1:8" x14ac:dyDescent="0.3">
      <c r="A133" s="155" t="s">
        <v>641</v>
      </c>
      <c r="B133" s="156" t="s">
        <v>531</v>
      </c>
      <c r="C133" s="155" t="s">
        <v>298</v>
      </c>
      <c r="E133" s="155">
        <v>1</v>
      </c>
      <c r="F133" s="155" t="s">
        <v>72</v>
      </c>
      <c r="H133" s="209">
        <v>61000</v>
      </c>
    </row>
    <row r="134" spans="1:8" x14ac:dyDescent="0.3">
      <c r="A134" s="155" t="s">
        <v>642</v>
      </c>
      <c r="B134" s="156" t="s">
        <v>531</v>
      </c>
      <c r="C134" s="155" t="s">
        <v>643</v>
      </c>
      <c r="E134" s="155">
        <v>1</v>
      </c>
      <c r="F134" s="155" t="s">
        <v>72</v>
      </c>
      <c r="H134" s="209">
        <v>57060</v>
      </c>
    </row>
    <row r="135" spans="1:8" x14ac:dyDescent="0.3">
      <c r="A135" s="155" t="s">
        <v>644</v>
      </c>
      <c r="B135" s="156" t="s">
        <v>531</v>
      </c>
      <c r="C135" s="155" t="s">
        <v>302</v>
      </c>
      <c r="E135" s="155">
        <v>1</v>
      </c>
      <c r="F135" s="155" t="s">
        <v>72</v>
      </c>
      <c r="H135" s="209">
        <v>0</v>
      </c>
    </row>
    <row r="136" spans="1:8" x14ac:dyDescent="0.3">
      <c r="A136" s="155" t="s">
        <v>645</v>
      </c>
      <c r="B136" s="156" t="s">
        <v>531</v>
      </c>
      <c r="C136" s="155" t="s">
        <v>304</v>
      </c>
      <c r="E136" s="155">
        <v>1</v>
      </c>
      <c r="F136" s="155" t="s">
        <v>72</v>
      </c>
      <c r="H136" s="209">
        <v>374400</v>
      </c>
    </row>
    <row r="137" spans="1:8" x14ac:dyDescent="0.3">
      <c r="A137" s="155" t="s">
        <v>646</v>
      </c>
      <c r="B137" s="156" t="s">
        <v>531</v>
      </c>
      <c r="C137" s="155" t="s">
        <v>306</v>
      </c>
      <c r="E137" s="155">
        <v>1</v>
      </c>
      <c r="F137" s="155" t="s">
        <v>72</v>
      </c>
      <c r="H137" s="209">
        <v>0</v>
      </c>
    </row>
    <row r="138" spans="1:8" x14ac:dyDescent="0.3">
      <c r="A138" s="155" t="s">
        <v>647</v>
      </c>
      <c r="B138" s="156" t="s">
        <v>531</v>
      </c>
      <c r="C138" s="155" t="s">
        <v>308</v>
      </c>
      <c r="E138" s="155">
        <v>1</v>
      </c>
      <c r="F138" s="155" t="s">
        <v>72</v>
      </c>
      <c r="H138" s="209">
        <v>1E-3</v>
      </c>
    </row>
    <row r="139" spans="1:8" x14ac:dyDescent="0.3">
      <c r="A139" s="155" t="s">
        <v>648</v>
      </c>
      <c r="B139" s="156" t="s">
        <v>531</v>
      </c>
      <c r="C139" s="155" t="s">
        <v>311</v>
      </c>
      <c r="E139" s="155">
        <v>1</v>
      </c>
      <c r="F139" s="155" t="s">
        <v>72</v>
      </c>
      <c r="H139" s="209">
        <v>25000</v>
      </c>
    </row>
    <row r="140" spans="1:8" x14ac:dyDescent="0.3">
      <c r="A140" s="155" t="s">
        <v>649</v>
      </c>
      <c r="B140" s="156" t="s">
        <v>531</v>
      </c>
      <c r="C140" s="155" t="s">
        <v>650</v>
      </c>
      <c r="E140" s="155">
        <v>1</v>
      </c>
      <c r="F140" s="155" t="s">
        <v>72</v>
      </c>
      <c r="H140" s="209">
        <v>172800</v>
      </c>
    </row>
    <row r="141" spans="1:8" x14ac:dyDescent="0.3">
      <c r="A141" s="155" t="s">
        <v>651</v>
      </c>
      <c r="B141" s="156" t="s">
        <v>531</v>
      </c>
      <c r="C141" s="155" t="s">
        <v>315</v>
      </c>
      <c r="E141" s="155">
        <v>1</v>
      </c>
      <c r="F141" s="155" t="s">
        <v>72</v>
      </c>
      <c r="H141" s="209">
        <v>0</v>
      </c>
    </row>
    <row r="142" spans="1:8" x14ac:dyDescent="0.3">
      <c r="A142" s="155" t="s">
        <v>652</v>
      </c>
      <c r="B142" s="156" t="s">
        <v>531</v>
      </c>
      <c r="C142" s="155" t="s">
        <v>317</v>
      </c>
      <c r="E142" s="155">
        <v>1</v>
      </c>
      <c r="F142" s="155" t="s">
        <v>72</v>
      </c>
      <c r="H142" s="209">
        <v>0</v>
      </c>
    </row>
    <row r="143" spans="1:8" x14ac:dyDescent="0.3">
      <c r="A143" s="155" t="s">
        <v>653</v>
      </c>
      <c r="B143" s="156" t="s">
        <v>45</v>
      </c>
      <c r="C143" s="155" t="s">
        <v>318</v>
      </c>
      <c r="E143" s="155">
        <v>1</v>
      </c>
      <c r="F143" s="155" t="s">
        <v>72</v>
      </c>
      <c r="H143" s="209">
        <v>0</v>
      </c>
    </row>
    <row r="144" spans="1:8" x14ac:dyDescent="0.3">
      <c r="A144" s="155" t="s">
        <v>654</v>
      </c>
      <c r="B144" s="156" t="s">
        <v>531</v>
      </c>
      <c r="C144" s="155" t="s">
        <v>320</v>
      </c>
      <c r="E144" s="155">
        <v>1</v>
      </c>
      <c r="F144" s="155" t="s">
        <v>72</v>
      </c>
      <c r="H144" s="209">
        <v>15000</v>
      </c>
    </row>
    <row r="145" spans="1:8" x14ac:dyDescent="0.3">
      <c r="A145" s="155" t="s">
        <v>655</v>
      </c>
      <c r="B145" s="156" t="s">
        <v>531</v>
      </c>
      <c r="C145" s="155" t="s">
        <v>323</v>
      </c>
      <c r="E145" s="155">
        <v>1</v>
      </c>
      <c r="F145" s="155" t="s">
        <v>72</v>
      </c>
      <c r="H145" s="209">
        <v>1600</v>
      </c>
    </row>
    <row r="146" spans="1:8" x14ac:dyDescent="0.3">
      <c r="A146" s="155" t="s">
        <v>656</v>
      </c>
      <c r="B146" s="156" t="s">
        <v>657</v>
      </c>
      <c r="C146" s="155" t="s">
        <v>325</v>
      </c>
      <c r="E146" s="155">
        <v>1</v>
      </c>
      <c r="F146" s="155" t="s">
        <v>72</v>
      </c>
      <c r="H146" s="209">
        <v>6500</v>
      </c>
    </row>
    <row r="147" spans="1:8" x14ac:dyDescent="0.3">
      <c r="A147" s="155" t="s">
        <v>658</v>
      </c>
      <c r="B147" s="156" t="s">
        <v>45</v>
      </c>
      <c r="C147" s="155" t="s">
        <v>327</v>
      </c>
      <c r="E147" s="155">
        <v>1</v>
      </c>
      <c r="F147" s="155" t="s">
        <v>72</v>
      </c>
      <c r="H147" s="209">
        <v>0</v>
      </c>
    </row>
    <row r="148" spans="1:8" x14ac:dyDescent="0.3">
      <c r="A148" s="155" t="s">
        <v>659</v>
      </c>
      <c r="B148" s="156" t="s">
        <v>531</v>
      </c>
      <c r="C148" s="155" t="s">
        <v>329</v>
      </c>
      <c r="E148" s="155">
        <v>1</v>
      </c>
      <c r="F148" s="155" t="s">
        <v>72</v>
      </c>
      <c r="H148" s="209">
        <v>0</v>
      </c>
    </row>
    <row r="149" spans="1:8" x14ac:dyDescent="0.3">
      <c r="A149" s="155" t="s">
        <v>660</v>
      </c>
      <c r="B149" s="156" t="s">
        <v>45</v>
      </c>
      <c r="C149" s="155" t="s">
        <v>331</v>
      </c>
      <c r="E149" s="155">
        <v>1</v>
      </c>
      <c r="F149" s="155" t="s">
        <v>72</v>
      </c>
      <c r="H149" s="209">
        <v>10000</v>
      </c>
    </row>
    <row r="150" spans="1:8" x14ac:dyDescent="0.3">
      <c r="A150" s="155" t="s">
        <v>661</v>
      </c>
      <c r="B150" s="156" t="s">
        <v>45</v>
      </c>
      <c r="C150" s="155" t="s">
        <v>333</v>
      </c>
      <c r="E150" s="155">
        <v>1</v>
      </c>
      <c r="F150" s="155" t="s">
        <v>72</v>
      </c>
      <c r="H150" s="209">
        <v>60480</v>
      </c>
    </row>
    <row r="151" spans="1:8" x14ac:dyDescent="0.3">
      <c r="A151" s="155" t="s">
        <v>662</v>
      </c>
      <c r="B151" s="156" t="s">
        <v>531</v>
      </c>
      <c r="C151" s="155" t="s">
        <v>335</v>
      </c>
      <c r="E151" s="155">
        <v>1</v>
      </c>
      <c r="F151" s="155" t="s">
        <v>72</v>
      </c>
      <c r="H151" s="209">
        <v>97200</v>
      </c>
    </row>
    <row r="152" spans="1:8" x14ac:dyDescent="0.3">
      <c r="A152" s="155" t="s">
        <v>663</v>
      </c>
      <c r="B152" s="156" t="s">
        <v>531</v>
      </c>
      <c r="C152" s="155" t="s">
        <v>337</v>
      </c>
      <c r="E152" s="155">
        <v>1</v>
      </c>
      <c r="F152" s="155" t="s">
        <v>72</v>
      </c>
      <c r="H152" s="209">
        <v>3500</v>
      </c>
    </row>
    <row r="153" spans="1:8" x14ac:dyDescent="0.3">
      <c r="A153" s="155" t="s">
        <v>664</v>
      </c>
      <c r="B153" s="156" t="s">
        <v>531</v>
      </c>
      <c r="C153" s="155" t="s">
        <v>340</v>
      </c>
      <c r="E153" s="155">
        <v>1</v>
      </c>
      <c r="F153" s="155" t="s">
        <v>72</v>
      </c>
      <c r="H153" s="209">
        <v>0</v>
      </c>
    </row>
    <row r="154" spans="1:8" x14ac:dyDescent="0.3">
      <c r="A154" s="155" t="s">
        <v>665</v>
      </c>
      <c r="B154" s="156" t="s">
        <v>45</v>
      </c>
      <c r="C154" s="155" t="s">
        <v>342</v>
      </c>
      <c r="E154" s="155">
        <v>1</v>
      </c>
      <c r="F154" s="155" t="s">
        <v>72</v>
      </c>
      <c r="H154" s="209">
        <v>10000</v>
      </c>
    </row>
    <row r="155" spans="1:8" x14ac:dyDescent="0.3">
      <c r="A155" s="155" t="s">
        <v>666</v>
      </c>
      <c r="B155" s="156" t="s">
        <v>45</v>
      </c>
      <c r="C155" s="155" t="s">
        <v>344</v>
      </c>
      <c r="E155" s="155">
        <v>1</v>
      </c>
      <c r="F155" s="155" t="s">
        <v>72</v>
      </c>
      <c r="H155" s="209">
        <v>0</v>
      </c>
    </row>
    <row r="156" spans="1:8" x14ac:dyDescent="0.3">
      <c r="A156" s="155" t="s">
        <v>667</v>
      </c>
      <c r="B156" s="156" t="s">
        <v>45</v>
      </c>
      <c r="C156" s="155" t="s">
        <v>346</v>
      </c>
      <c r="E156" s="155">
        <v>1</v>
      </c>
      <c r="F156" s="155" t="s">
        <v>72</v>
      </c>
      <c r="H156" s="209">
        <v>10944</v>
      </c>
    </row>
    <row r="157" spans="1:8" x14ac:dyDescent="0.3">
      <c r="A157" s="155" t="s">
        <v>668</v>
      </c>
      <c r="B157" s="156" t="s">
        <v>531</v>
      </c>
      <c r="C157" s="155" t="s">
        <v>349</v>
      </c>
      <c r="E157" s="155">
        <v>1</v>
      </c>
      <c r="F157" s="155" t="s">
        <v>72</v>
      </c>
      <c r="H157" s="209">
        <v>23040</v>
      </c>
    </row>
    <row r="158" spans="1:8" x14ac:dyDescent="0.3">
      <c r="A158" s="155" t="s">
        <v>669</v>
      </c>
      <c r="B158" s="156" t="s">
        <v>531</v>
      </c>
      <c r="C158" s="155" t="s">
        <v>351</v>
      </c>
      <c r="E158" s="155">
        <v>1</v>
      </c>
      <c r="F158" s="155" t="s">
        <v>72</v>
      </c>
      <c r="H158" s="209">
        <v>51800</v>
      </c>
    </row>
    <row r="159" spans="1:8" x14ac:dyDescent="0.3">
      <c r="A159" s="155" t="s">
        <v>670</v>
      </c>
      <c r="B159" s="156" t="s">
        <v>531</v>
      </c>
      <c r="C159" s="155" t="s">
        <v>353</v>
      </c>
      <c r="E159" s="155">
        <v>1</v>
      </c>
      <c r="F159" s="155" t="s">
        <v>72</v>
      </c>
      <c r="H159" s="209">
        <v>0</v>
      </c>
    </row>
    <row r="160" spans="1:8" x14ac:dyDescent="0.3">
      <c r="A160" s="155" t="s">
        <v>671</v>
      </c>
      <c r="B160" s="156" t="s">
        <v>531</v>
      </c>
      <c r="C160" s="155" t="s">
        <v>355</v>
      </c>
      <c r="E160" s="155">
        <v>1</v>
      </c>
      <c r="F160" s="155" t="s">
        <v>72</v>
      </c>
      <c r="H160" s="209">
        <v>0</v>
      </c>
    </row>
    <row r="161" spans="1:8" x14ac:dyDescent="0.3">
      <c r="A161" s="155" t="s">
        <v>672</v>
      </c>
      <c r="B161" s="156" t="s">
        <v>45</v>
      </c>
      <c r="C161" s="155" t="s">
        <v>673</v>
      </c>
      <c r="E161" s="155">
        <v>1</v>
      </c>
      <c r="F161" s="155" t="s">
        <v>72</v>
      </c>
      <c r="H161" s="209">
        <v>0</v>
      </c>
    </row>
    <row r="162" spans="1:8" x14ac:dyDescent="0.3">
      <c r="A162" s="155" t="s">
        <v>674</v>
      </c>
      <c r="B162" s="156" t="s">
        <v>531</v>
      </c>
      <c r="C162" s="155" t="s">
        <v>359</v>
      </c>
      <c r="E162" s="155">
        <v>1</v>
      </c>
      <c r="F162" s="155" t="s">
        <v>72</v>
      </c>
      <c r="H162" s="209">
        <v>0</v>
      </c>
    </row>
    <row r="163" spans="1:8" x14ac:dyDescent="0.3">
      <c r="A163" s="155" t="s">
        <v>675</v>
      </c>
      <c r="B163" s="156" t="s">
        <v>45</v>
      </c>
      <c r="C163" s="155" t="s">
        <v>361</v>
      </c>
      <c r="E163" s="155">
        <v>1</v>
      </c>
      <c r="F163" s="155" t="s">
        <v>72</v>
      </c>
      <c r="H163" s="209">
        <v>367200</v>
      </c>
    </row>
    <row r="164" spans="1:8" x14ac:dyDescent="0.3">
      <c r="A164" s="155" t="s">
        <v>676</v>
      </c>
      <c r="B164" s="156" t="s">
        <v>45</v>
      </c>
      <c r="C164" s="155" t="s">
        <v>363</v>
      </c>
      <c r="E164" s="155">
        <v>1</v>
      </c>
      <c r="F164" s="155" t="s">
        <v>72</v>
      </c>
      <c r="H164" s="209">
        <v>0</v>
      </c>
    </row>
    <row r="165" spans="1:8" x14ac:dyDescent="0.3">
      <c r="A165" s="155" t="s">
        <v>677</v>
      </c>
      <c r="B165" s="156" t="s">
        <v>45</v>
      </c>
      <c r="C165" s="155" t="s">
        <v>365</v>
      </c>
      <c r="E165" s="155">
        <v>1</v>
      </c>
      <c r="F165" s="155" t="s">
        <v>72</v>
      </c>
      <c r="H165" s="209">
        <v>0</v>
      </c>
    </row>
    <row r="166" spans="1:8" x14ac:dyDescent="0.3">
      <c r="A166" s="155" t="s">
        <v>678</v>
      </c>
      <c r="B166" s="156" t="s">
        <v>531</v>
      </c>
      <c r="C166" s="155" t="s">
        <v>367</v>
      </c>
      <c r="E166" s="155">
        <v>1</v>
      </c>
      <c r="F166" s="155" t="s">
        <v>72</v>
      </c>
      <c r="H166" s="209">
        <v>0</v>
      </c>
    </row>
    <row r="167" spans="1:8" x14ac:dyDescent="0.3">
      <c r="A167" s="155" t="s">
        <v>679</v>
      </c>
      <c r="B167" s="156" t="s">
        <v>531</v>
      </c>
      <c r="C167" s="155" t="s">
        <v>369</v>
      </c>
      <c r="E167" s="155">
        <v>1</v>
      </c>
      <c r="F167" s="155" t="s">
        <v>72</v>
      </c>
      <c r="H167" s="209">
        <v>0</v>
      </c>
    </row>
    <row r="168" spans="1:8" x14ac:dyDescent="0.3">
      <c r="A168" s="155" t="s">
        <v>680</v>
      </c>
      <c r="B168" s="156" t="s">
        <v>531</v>
      </c>
      <c r="C168" s="155" t="s">
        <v>371</v>
      </c>
      <c r="E168" s="155">
        <v>1</v>
      </c>
      <c r="F168" s="155" t="s">
        <v>72</v>
      </c>
      <c r="H168" s="209">
        <v>108000</v>
      </c>
    </row>
    <row r="169" spans="1:8" x14ac:dyDescent="0.3">
      <c r="A169" s="155" t="s">
        <v>681</v>
      </c>
      <c r="B169" s="156" t="s">
        <v>45</v>
      </c>
      <c r="C169" s="155" t="s">
        <v>682</v>
      </c>
      <c r="E169" s="155">
        <v>1</v>
      </c>
      <c r="F169" s="155" t="s">
        <v>72</v>
      </c>
      <c r="H169" s="209">
        <v>432000.00099999999</v>
      </c>
    </row>
    <row r="170" spans="1:8" x14ac:dyDescent="0.3">
      <c r="A170" s="155" t="s">
        <v>683</v>
      </c>
      <c r="B170" s="156" t="s">
        <v>531</v>
      </c>
      <c r="C170" s="155" t="s">
        <v>375</v>
      </c>
      <c r="E170" s="155">
        <v>1</v>
      </c>
      <c r="F170" s="155" t="s">
        <v>72</v>
      </c>
      <c r="H170" s="209">
        <v>207360</v>
      </c>
    </row>
    <row r="171" spans="1:8" x14ac:dyDescent="0.3">
      <c r="A171" s="155" t="s">
        <v>684</v>
      </c>
      <c r="B171" s="156" t="s">
        <v>531</v>
      </c>
      <c r="C171" s="155" t="s">
        <v>377</v>
      </c>
      <c r="E171" s="155">
        <v>1</v>
      </c>
      <c r="F171" s="155" t="s">
        <v>72</v>
      </c>
      <c r="H171" s="209">
        <v>1E-3</v>
      </c>
    </row>
    <row r="172" spans="1:8" x14ac:dyDescent="0.3">
      <c r="A172" s="155" t="s">
        <v>685</v>
      </c>
      <c r="B172" s="156" t="s">
        <v>45</v>
      </c>
      <c r="C172" s="155" t="s">
        <v>379</v>
      </c>
      <c r="E172" s="155">
        <v>1</v>
      </c>
      <c r="F172" s="155" t="s">
        <v>72</v>
      </c>
      <c r="H172" s="209">
        <v>0</v>
      </c>
    </row>
    <row r="173" spans="1:8" x14ac:dyDescent="0.3">
      <c r="A173" s="155" t="s">
        <v>686</v>
      </c>
      <c r="B173" s="156" t="s">
        <v>531</v>
      </c>
      <c r="C173" s="155" t="s">
        <v>381</v>
      </c>
      <c r="E173" s="155">
        <v>1</v>
      </c>
      <c r="F173" s="155" t="s">
        <v>72</v>
      </c>
      <c r="H173" s="209">
        <v>0</v>
      </c>
    </row>
    <row r="174" spans="1:8" x14ac:dyDescent="0.3">
      <c r="A174" s="155" t="s">
        <v>687</v>
      </c>
      <c r="B174" s="156" t="s">
        <v>531</v>
      </c>
      <c r="C174" s="155" t="s">
        <v>383</v>
      </c>
      <c r="E174" s="155">
        <v>1</v>
      </c>
      <c r="F174" s="155" t="s">
        <v>72</v>
      </c>
      <c r="H174" s="209">
        <v>5400</v>
      </c>
    </row>
    <row r="175" spans="1:8" x14ac:dyDescent="0.3">
      <c r="A175" s="155" t="s">
        <v>688</v>
      </c>
      <c r="B175" s="156" t="s">
        <v>531</v>
      </c>
      <c r="C175" s="155" t="s">
        <v>689</v>
      </c>
      <c r="E175" s="155">
        <v>1</v>
      </c>
      <c r="F175" s="155" t="s">
        <v>72</v>
      </c>
      <c r="H175" s="209">
        <v>0</v>
      </c>
    </row>
    <row r="176" spans="1:8" x14ac:dyDescent="0.3">
      <c r="A176" s="155" t="s">
        <v>690</v>
      </c>
      <c r="B176" s="156" t="s">
        <v>45</v>
      </c>
      <c r="C176" s="155" t="s">
        <v>388</v>
      </c>
      <c r="E176" s="155">
        <v>1</v>
      </c>
      <c r="F176" s="155" t="s">
        <v>72</v>
      </c>
      <c r="H176" s="209">
        <v>0</v>
      </c>
    </row>
    <row r="177" spans="1:8" x14ac:dyDescent="0.3">
      <c r="A177" s="155" t="s">
        <v>691</v>
      </c>
      <c r="B177" s="156" t="s">
        <v>531</v>
      </c>
      <c r="C177" s="155" t="s">
        <v>390</v>
      </c>
      <c r="E177" s="155">
        <v>1</v>
      </c>
      <c r="F177" s="155" t="s">
        <v>72</v>
      </c>
      <c r="H177" s="209">
        <v>0</v>
      </c>
    </row>
    <row r="178" spans="1:8" x14ac:dyDescent="0.3">
      <c r="A178" s="155" t="s">
        <v>692</v>
      </c>
      <c r="B178" s="156" t="s">
        <v>531</v>
      </c>
      <c r="C178" s="155" t="s">
        <v>391</v>
      </c>
      <c r="E178" s="155">
        <v>1</v>
      </c>
      <c r="F178" s="155" t="s">
        <v>72</v>
      </c>
      <c r="H178" s="209">
        <v>0</v>
      </c>
    </row>
    <row r="179" spans="1:8" x14ac:dyDescent="0.3">
      <c r="A179" s="155" t="s">
        <v>693</v>
      </c>
      <c r="B179" s="156" t="s">
        <v>531</v>
      </c>
      <c r="C179" s="155" t="s">
        <v>393</v>
      </c>
      <c r="E179" s="155">
        <v>1</v>
      </c>
      <c r="F179" s="155" t="s">
        <v>72</v>
      </c>
      <c r="H179" s="209">
        <v>0</v>
      </c>
    </row>
    <row r="180" spans="1:8" x14ac:dyDescent="0.3">
      <c r="A180" s="155" t="s">
        <v>694</v>
      </c>
      <c r="B180" s="156" t="s">
        <v>531</v>
      </c>
      <c r="C180" s="155" t="s">
        <v>395</v>
      </c>
      <c r="E180" s="155">
        <v>1</v>
      </c>
      <c r="F180" s="155" t="s">
        <v>72</v>
      </c>
      <c r="H180" s="209">
        <v>354616</v>
      </c>
    </row>
    <row r="181" spans="1:8" x14ac:dyDescent="0.3">
      <c r="A181" s="155" t="s">
        <v>695</v>
      </c>
      <c r="B181" s="156" t="s">
        <v>531</v>
      </c>
      <c r="C181" s="155" t="s">
        <v>397</v>
      </c>
      <c r="E181" s="155">
        <v>1</v>
      </c>
      <c r="F181" s="155" t="s">
        <v>72</v>
      </c>
      <c r="H181" s="209">
        <v>0</v>
      </c>
    </row>
    <row r="182" spans="1:8" x14ac:dyDescent="0.3">
      <c r="A182" s="155" t="s">
        <v>696</v>
      </c>
      <c r="B182" s="156" t="s">
        <v>531</v>
      </c>
      <c r="C182" s="155" t="s">
        <v>697</v>
      </c>
      <c r="E182" s="155">
        <v>1</v>
      </c>
      <c r="F182" s="155" t="s">
        <v>72</v>
      </c>
      <c r="H182" s="209">
        <v>15000</v>
      </c>
    </row>
    <row r="183" spans="1:8" x14ac:dyDescent="0.3">
      <c r="A183" s="155" t="s">
        <v>698</v>
      </c>
      <c r="B183" s="156" t="s">
        <v>531</v>
      </c>
      <c r="C183" s="155" t="s">
        <v>699</v>
      </c>
      <c r="E183" s="155">
        <v>1</v>
      </c>
      <c r="F183" s="155" t="s">
        <v>72</v>
      </c>
      <c r="H183" s="209">
        <v>321300</v>
      </c>
    </row>
    <row r="184" spans="1:8" x14ac:dyDescent="0.3">
      <c r="A184" s="155" t="s">
        <v>700</v>
      </c>
      <c r="B184" s="156" t="s">
        <v>531</v>
      </c>
      <c r="C184" s="155" t="s">
        <v>404</v>
      </c>
      <c r="E184" s="155">
        <v>1</v>
      </c>
      <c r="F184" s="155" t="s">
        <v>72</v>
      </c>
      <c r="H184" s="209">
        <v>914400</v>
      </c>
    </row>
    <row r="185" spans="1:8" x14ac:dyDescent="0.3">
      <c r="A185" s="155" t="s">
        <v>701</v>
      </c>
      <c r="B185" s="156" t="s">
        <v>531</v>
      </c>
      <c r="C185" s="155" t="s">
        <v>702</v>
      </c>
      <c r="E185" s="155">
        <v>1</v>
      </c>
      <c r="F185" s="155" t="s">
        <v>72</v>
      </c>
      <c r="H185" s="209">
        <v>1008000</v>
      </c>
    </row>
    <row r="186" spans="1:8" x14ac:dyDescent="0.3">
      <c r="A186" s="155" t="s">
        <v>703</v>
      </c>
      <c r="B186" s="156" t="s">
        <v>531</v>
      </c>
      <c r="C186" s="155" t="s">
        <v>408</v>
      </c>
      <c r="E186" s="155">
        <v>1</v>
      </c>
      <c r="F186" s="155" t="s">
        <v>72</v>
      </c>
      <c r="H186" s="209">
        <v>1113900</v>
      </c>
    </row>
    <row r="187" spans="1:8" x14ac:dyDescent="0.3">
      <c r="A187" s="155" t="s">
        <v>704</v>
      </c>
      <c r="B187" s="156" t="s">
        <v>531</v>
      </c>
      <c r="C187" s="155" t="s">
        <v>410</v>
      </c>
      <c r="E187" s="155">
        <v>1</v>
      </c>
      <c r="F187" s="155" t="s">
        <v>72</v>
      </c>
      <c r="H187" s="209">
        <v>0</v>
      </c>
    </row>
    <row r="188" spans="1:8" x14ac:dyDescent="0.3">
      <c r="A188" s="155" t="s">
        <v>705</v>
      </c>
      <c r="B188" s="156" t="s">
        <v>531</v>
      </c>
      <c r="C188" s="155" t="s">
        <v>706</v>
      </c>
      <c r="E188" s="155">
        <v>1</v>
      </c>
      <c r="F188" s="155" t="s">
        <v>72</v>
      </c>
      <c r="H188" s="209">
        <v>0</v>
      </c>
    </row>
    <row r="189" spans="1:8" x14ac:dyDescent="0.3">
      <c r="A189" s="155" t="s">
        <v>707</v>
      </c>
      <c r="B189" s="156" t="s">
        <v>531</v>
      </c>
      <c r="C189" s="155" t="s">
        <v>414</v>
      </c>
      <c r="E189" s="155">
        <v>1</v>
      </c>
      <c r="F189" s="155" t="s">
        <v>72</v>
      </c>
      <c r="H189" s="209">
        <v>0</v>
      </c>
    </row>
    <row r="190" spans="1:8" x14ac:dyDescent="0.3">
      <c r="A190" s="155" t="s">
        <v>708</v>
      </c>
      <c r="B190" s="156" t="s">
        <v>531</v>
      </c>
      <c r="C190" s="155" t="s">
        <v>416</v>
      </c>
      <c r="E190" s="155">
        <v>1</v>
      </c>
      <c r="F190" s="155" t="s">
        <v>72</v>
      </c>
      <c r="H190" s="209">
        <v>0</v>
      </c>
    </row>
    <row r="191" spans="1:8" x14ac:dyDescent="0.3">
      <c r="A191" s="155" t="s">
        <v>709</v>
      </c>
      <c r="B191" s="156" t="s">
        <v>531</v>
      </c>
      <c r="C191" s="155" t="s">
        <v>710</v>
      </c>
      <c r="E191" s="155">
        <v>1</v>
      </c>
      <c r="F191" s="155" t="s">
        <v>72</v>
      </c>
      <c r="H191" s="209">
        <v>1E-3</v>
      </c>
    </row>
    <row r="192" spans="1:8" x14ac:dyDescent="0.3">
      <c r="A192" s="155" t="s">
        <v>711</v>
      </c>
      <c r="B192" s="156" t="s">
        <v>531</v>
      </c>
      <c r="C192" s="155" t="s">
        <v>420</v>
      </c>
      <c r="E192" s="155">
        <v>1</v>
      </c>
      <c r="F192" s="155" t="s">
        <v>72</v>
      </c>
      <c r="H192" s="209">
        <v>0</v>
      </c>
    </row>
    <row r="193" spans="1:8" x14ac:dyDescent="0.3">
      <c r="A193" s="155" t="s">
        <v>712</v>
      </c>
      <c r="B193" s="156" t="s">
        <v>531</v>
      </c>
      <c r="C193" s="155" t="s">
        <v>422</v>
      </c>
      <c r="E193" s="155">
        <v>1</v>
      </c>
      <c r="F193" s="155" t="s">
        <v>72</v>
      </c>
      <c r="H193" s="209">
        <v>300000</v>
      </c>
    </row>
    <row r="194" spans="1:8" x14ac:dyDescent="0.3">
      <c r="A194" s="155" t="s">
        <v>713</v>
      </c>
      <c r="B194" s="156" t="s">
        <v>531</v>
      </c>
      <c r="C194" s="155" t="s">
        <v>424</v>
      </c>
      <c r="E194" s="155">
        <v>1</v>
      </c>
      <c r="F194" s="155" t="s">
        <v>72</v>
      </c>
      <c r="H194" s="209">
        <v>0</v>
      </c>
    </row>
    <row r="195" spans="1:8" x14ac:dyDescent="0.3">
      <c r="A195" s="155" t="s">
        <v>714</v>
      </c>
      <c r="B195" s="156" t="s">
        <v>531</v>
      </c>
      <c r="C195" s="155" t="s">
        <v>425</v>
      </c>
      <c r="E195" s="155">
        <v>1</v>
      </c>
      <c r="F195" s="155" t="s">
        <v>72</v>
      </c>
      <c r="H195" s="209">
        <v>15000</v>
      </c>
    </row>
    <row r="196" spans="1:8" x14ac:dyDescent="0.3">
      <c r="A196" s="155" t="s">
        <v>715</v>
      </c>
      <c r="B196" s="156" t="s">
        <v>531</v>
      </c>
      <c r="C196" s="155" t="s">
        <v>427</v>
      </c>
      <c r="E196" s="155">
        <v>1</v>
      </c>
      <c r="F196" s="155" t="s">
        <v>72</v>
      </c>
      <c r="H196" s="209">
        <v>0</v>
      </c>
    </row>
    <row r="197" spans="1:8" x14ac:dyDescent="0.3">
      <c r="A197" s="155" t="s">
        <v>716</v>
      </c>
      <c r="B197" s="156" t="s">
        <v>531</v>
      </c>
      <c r="C197" s="155" t="s">
        <v>717</v>
      </c>
      <c r="E197" s="155">
        <v>1</v>
      </c>
      <c r="F197" s="155" t="s">
        <v>72</v>
      </c>
      <c r="H197" s="209">
        <v>0</v>
      </c>
    </row>
    <row r="198" spans="1:8" x14ac:dyDescent="0.3">
      <c r="A198" s="155" t="s">
        <v>718</v>
      </c>
      <c r="B198" s="156" t="s">
        <v>531</v>
      </c>
      <c r="C198" s="155" t="s">
        <v>431</v>
      </c>
      <c r="E198" s="155">
        <v>1</v>
      </c>
      <c r="F198" s="155" t="s">
        <v>72</v>
      </c>
      <c r="H198" s="209">
        <v>62222.222222222226</v>
      </c>
    </row>
    <row r="199" spans="1:8" x14ac:dyDescent="0.3">
      <c r="A199" s="155" t="s">
        <v>719</v>
      </c>
      <c r="B199" s="156" t="s">
        <v>531</v>
      </c>
      <c r="C199" s="155" t="s">
        <v>434</v>
      </c>
      <c r="E199" s="155">
        <v>1</v>
      </c>
      <c r="F199" s="155" t="s">
        <v>72</v>
      </c>
      <c r="H199" s="209">
        <v>49453</v>
      </c>
    </row>
    <row r="200" spans="1:8" x14ac:dyDescent="0.3">
      <c r="A200" s="155" t="s">
        <v>720</v>
      </c>
      <c r="B200" s="156" t="s">
        <v>531</v>
      </c>
      <c r="C200" s="155" t="s">
        <v>436</v>
      </c>
      <c r="E200" s="155">
        <v>1</v>
      </c>
      <c r="F200" s="155" t="s">
        <v>72</v>
      </c>
      <c r="H200" s="209">
        <v>0</v>
      </c>
    </row>
    <row r="201" spans="1:8" x14ac:dyDescent="0.3">
      <c r="A201" s="155" t="s">
        <v>721</v>
      </c>
      <c r="B201" s="156" t="s">
        <v>531</v>
      </c>
      <c r="C201" s="155" t="s">
        <v>438</v>
      </c>
      <c r="E201" s="155">
        <v>1</v>
      </c>
      <c r="F201" s="155" t="s">
        <v>72</v>
      </c>
      <c r="H201" s="209">
        <v>0</v>
      </c>
    </row>
    <row r="202" spans="1:8" x14ac:dyDescent="0.3">
      <c r="A202" s="155" t="s">
        <v>722</v>
      </c>
      <c r="B202" s="156" t="s">
        <v>531</v>
      </c>
      <c r="C202" s="155" t="s">
        <v>440</v>
      </c>
      <c r="E202" s="155">
        <v>1</v>
      </c>
      <c r="F202" s="155" t="s">
        <v>72</v>
      </c>
      <c r="H202" s="209">
        <v>0</v>
      </c>
    </row>
    <row r="203" spans="1:8" x14ac:dyDescent="0.3">
      <c r="A203" s="155" t="s">
        <v>723</v>
      </c>
      <c r="B203" s="156" t="s">
        <v>531</v>
      </c>
      <c r="C203" s="155" t="s">
        <v>442</v>
      </c>
      <c r="E203" s="155">
        <v>1</v>
      </c>
      <c r="F203" s="155" t="s">
        <v>72</v>
      </c>
      <c r="H203" s="209">
        <v>0</v>
      </c>
    </row>
    <row r="204" spans="1:8" x14ac:dyDescent="0.3">
      <c r="A204" s="155" t="s">
        <v>724</v>
      </c>
      <c r="B204" s="156" t="s">
        <v>531</v>
      </c>
      <c r="C204" s="155" t="s">
        <v>448</v>
      </c>
      <c r="E204" s="155">
        <v>1</v>
      </c>
      <c r="F204" s="155" t="s">
        <v>72</v>
      </c>
      <c r="H204" s="209">
        <v>1500</v>
      </c>
    </row>
    <row r="205" spans="1:8" x14ac:dyDescent="0.3">
      <c r="A205" s="155" t="s">
        <v>725</v>
      </c>
      <c r="B205" s="156" t="s">
        <v>531</v>
      </c>
      <c r="C205" s="155" t="s">
        <v>450</v>
      </c>
      <c r="E205" s="155">
        <v>1</v>
      </c>
      <c r="F205" s="155" t="s">
        <v>72</v>
      </c>
      <c r="H205" s="209">
        <v>0</v>
      </c>
    </row>
    <row r="206" spans="1:8" x14ac:dyDescent="0.3">
      <c r="A206" s="155" t="s">
        <v>726</v>
      </c>
      <c r="B206" s="156" t="s">
        <v>531</v>
      </c>
      <c r="C206" s="155" t="s">
        <v>452</v>
      </c>
      <c r="E206" s="155">
        <v>1</v>
      </c>
      <c r="F206" s="155" t="s">
        <v>72</v>
      </c>
      <c r="H206" s="209">
        <v>10000</v>
      </c>
    </row>
    <row r="207" spans="1:8" x14ac:dyDescent="0.3">
      <c r="A207" s="155" t="s">
        <v>727</v>
      </c>
      <c r="B207" s="156" t="s">
        <v>531</v>
      </c>
      <c r="C207" s="155" t="s">
        <v>454</v>
      </c>
      <c r="E207" s="155">
        <v>1</v>
      </c>
      <c r="F207" s="155" t="s">
        <v>72</v>
      </c>
      <c r="H207" s="209">
        <v>0</v>
      </c>
    </row>
    <row r="208" spans="1:8" x14ac:dyDescent="0.3">
      <c r="A208" s="155" t="s">
        <v>728</v>
      </c>
      <c r="B208" s="156" t="s">
        <v>531</v>
      </c>
      <c r="C208" s="155" t="s">
        <v>729</v>
      </c>
      <c r="E208" s="155">
        <v>1</v>
      </c>
      <c r="F208" s="155" t="s">
        <v>72</v>
      </c>
      <c r="H208" s="209">
        <v>125000</v>
      </c>
    </row>
    <row r="209" spans="1:8" x14ac:dyDescent="0.3">
      <c r="A209" s="155" t="s">
        <v>730</v>
      </c>
      <c r="B209" s="156" t="s">
        <v>531</v>
      </c>
      <c r="C209" s="155" t="s">
        <v>458</v>
      </c>
      <c r="E209" s="155">
        <v>1</v>
      </c>
      <c r="F209" s="155" t="s">
        <v>72</v>
      </c>
      <c r="H209" s="209">
        <v>155000</v>
      </c>
    </row>
    <row r="210" spans="1:8" x14ac:dyDescent="0.3">
      <c r="A210" s="155" t="s">
        <v>731</v>
      </c>
      <c r="B210" s="156" t="s">
        <v>45</v>
      </c>
      <c r="C210" s="155" t="s">
        <v>462</v>
      </c>
      <c r="E210" s="155">
        <v>1</v>
      </c>
      <c r="F210" s="155" t="s">
        <v>72</v>
      </c>
      <c r="H210" s="209">
        <v>0</v>
      </c>
    </row>
    <row r="211" spans="1:8" x14ac:dyDescent="0.3">
      <c r="A211" s="155" t="s">
        <v>732</v>
      </c>
      <c r="B211" s="156" t="s">
        <v>45</v>
      </c>
      <c r="C211" s="155" t="s">
        <v>13</v>
      </c>
      <c r="E211" s="155">
        <v>1</v>
      </c>
      <c r="F211" s="155" t="s">
        <v>72</v>
      </c>
      <c r="H211" s="209">
        <v>227308.83045833334</v>
      </c>
    </row>
    <row r="212" spans="1:8" x14ac:dyDescent="0.3">
      <c r="A212" s="155" t="s">
        <v>733</v>
      </c>
      <c r="B212" s="156" t="s">
        <v>45</v>
      </c>
      <c r="C212" s="155" t="s">
        <v>14</v>
      </c>
      <c r="E212" s="155">
        <v>1</v>
      </c>
      <c r="F212" s="155" t="s">
        <v>72</v>
      </c>
      <c r="H212" s="209">
        <v>0</v>
      </c>
    </row>
    <row r="213" spans="1:8" x14ac:dyDescent="0.3">
      <c r="A213" s="155" t="s">
        <v>734</v>
      </c>
      <c r="B213" s="156" t="s">
        <v>45</v>
      </c>
      <c r="C213" s="155" t="s">
        <v>15</v>
      </c>
      <c r="E213" s="155">
        <v>1</v>
      </c>
      <c r="F213" s="155" t="s">
        <v>72</v>
      </c>
      <c r="H213" s="209">
        <v>0</v>
      </c>
    </row>
    <row r="214" spans="1:8" x14ac:dyDescent="0.3">
      <c r="A214" s="155" t="s">
        <v>735</v>
      </c>
      <c r="B214" s="156" t="s">
        <v>45</v>
      </c>
      <c r="C214" s="155" t="s">
        <v>16</v>
      </c>
      <c r="E214" s="155">
        <v>1</v>
      </c>
      <c r="F214" s="155" t="s">
        <v>72</v>
      </c>
      <c r="H214" s="209">
        <v>0</v>
      </c>
    </row>
    <row r="215" spans="1:8" x14ac:dyDescent="0.3">
      <c r="A215" s="155" t="s">
        <v>736</v>
      </c>
      <c r="B215" s="156" t="s">
        <v>45</v>
      </c>
      <c r="C215" s="155" t="s">
        <v>17</v>
      </c>
      <c r="E215" s="155">
        <v>1</v>
      </c>
      <c r="F215" s="155" t="s">
        <v>72</v>
      </c>
      <c r="H215" s="209">
        <v>151539.22030555556</v>
      </c>
    </row>
    <row r="216" spans="1:8" x14ac:dyDescent="0.3">
      <c r="A216" s="155" t="s">
        <v>737</v>
      </c>
      <c r="B216" s="156" t="s">
        <v>45</v>
      </c>
      <c r="C216" s="155" t="s">
        <v>18</v>
      </c>
      <c r="E216" s="155">
        <v>1</v>
      </c>
      <c r="F216" s="155" t="s">
        <v>72</v>
      </c>
      <c r="H216" s="209">
        <v>0</v>
      </c>
    </row>
    <row r="217" spans="1:8" x14ac:dyDescent="0.3">
      <c r="A217" s="155" t="s">
        <v>738</v>
      </c>
      <c r="B217" s="156" t="s">
        <v>45</v>
      </c>
      <c r="C217" s="155" t="s">
        <v>19</v>
      </c>
      <c r="E217" s="155">
        <v>1</v>
      </c>
      <c r="F217" s="155" t="s">
        <v>72</v>
      </c>
      <c r="H217" s="209">
        <v>608656.88122222223</v>
      </c>
    </row>
    <row r="218" spans="1:8" x14ac:dyDescent="0.3">
      <c r="A218" s="155" t="s">
        <v>739</v>
      </c>
      <c r="B218" s="156" t="s">
        <v>45</v>
      </c>
      <c r="C218" s="155" t="s">
        <v>740</v>
      </c>
      <c r="E218" s="155">
        <v>1</v>
      </c>
      <c r="F218" s="155" t="s">
        <v>72</v>
      </c>
      <c r="H218" s="209">
        <v>0</v>
      </c>
    </row>
  </sheetData>
  <autoFilter ref="A1:K218" xr:uid="{DF98E8B0-256D-43BD-BCF2-D464DC488F1C}"/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185" yWindow="832" count="4">
        <x14:dataValidation type="list" allowBlank="1" showInputMessage="1" showErrorMessage="1" error="Please use the dropdown selector to choose a unit of measure" prompt="Choose the value from the dropdown" xr:uid="{56CD85E2-175C-4CF4-ABA7-60A9A9E8D531}">
          <x14:formula1>
            <xm:f>'Importer Data Fields'!$G$2:$G$3</xm:f>
          </x14:formula1>
          <xm:sqref>D2:D1048576</xm:sqref>
        </x14:dataValidation>
        <x14:dataValidation type="list" allowBlank="1" showInputMessage="1" showErrorMessage="1" error="Please use the dropdown selector to choose a unit of measure" prompt="Choose the value from the dropdown" xr:uid="{8A6FC7F4-ED7B-4240-818F-AC83415BCE9A}">
          <x14:formula1>
            <xm:f>'Importer Data Fields'!$E$2:$E$20</xm:f>
          </x14:formula1>
          <xm:sqref>F2:F1048576</xm:sqref>
        </x14:dataValidation>
        <x14:dataValidation type="list" allowBlank="1" showInputMessage="1" showErrorMessage="1" error="Please use the dropdown selector to choose a valid segment" prompt="Choose the value from the dropdown" xr:uid="{799CD351-8495-4F63-B532-9090A0839345}">
          <x14:formula1>
            <xm:f>'Importer Data Fields'!$C$2:$C$10</xm:f>
          </x14:formula1>
          <xm:sqref>B2:B1048576</xm:sqref>
        </x14:dataValidation>
        <x14:dataValidation type="list" allowBlank="1" showInputMessage="1" showErrorMessage="1" error="Please use the dropdown selector to choose a valid segment" prompt="Choose the value from the dropdown" xr:uid="{6017A76F-B388-4762-9B19-DAD46DD5270B}">
          <x14:formula1>
            <xm:f>'Importer Data Fields'!$A$2:$A$225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4D4F-CBFB-4B0D-9A1E-060FD3993533}">
  <sheetPr codeName="Sheet20"/>
  <dimension ref="A1:G225"/>
  <sheetViews>
    <sheetView showWhiteSpace="0" workbookViewId="0">
      <selection activeCell="B2" sqref="B2"/>
    </sheetView>
  </sheetViews>
  <sheetFormatPr defaultColWidth="9.1796875" defaultRowHeight="14" x14ac:dyDescent="0.3"/>
  <cols>
    <col min="1" max="1" width="20.1796875" style="155" bestFit="1" customWidth="1"/>
    <col min="2" max="2" width="47.7265625" style="155" bestFit="1" customWidth="1"/>
    <col min="3" max="3" width="22.54296875" style="155" bestFit="1" customWidth="1"/>
    <col min="4" max="4" width="30.1796875" style="155" bestFit="1" customWidth="1"/>
    <col min="5" max="7" width="12.54296875" style="155" bestFit="1" customWidth="1"/>
    <col min="8" max="16384" width="9.1796875" style="155"/>
  </cols>
  <sheetData>
    <row r="1" spans="1:7" x14ac:dyDescent="0.3">
      <c r="A1" s="155" t="s">
        <v>477</v>
      </c>
      <c r="B1" s="155" t="s">
        <v>741</v>
      </c>
      <c r="C1" s="155" t="s">
        <v>478</v>
      </c>
      <c r="D1" s="155" t="s">
        <v>742</v>
      </c>
      <c r="E1" s="155" t="s">
        <v>743</v>
      </c>
      <c r="F1" s="155" t="s">
        <v>744</v>
      </c>
      <c r="G1" s="155" t="s">
        <v>745</v>
      </c>
    </row>
    <row r="2" spans="1:7" x14ac:dyDescent="0.3">
      <c r="A2" s="155" t="s">
        <v>487</v>
      </c>
      <c r="B2" s="155" t="s">
        <v>205</v>
      </c>
      <c r="C2" s="155" t="s">
        <v>657</v>
      </c>
      <c r="D2" s="155" t="s">
        <v>657</v>
      </c>
      <c r="E2" s="155" t="s">
        <v>746</v>
      </c>
      <c r="F2" s="155" t="s">
        <v>25</v>
      </c>
      <c r="G2" s="155" t="s">
        <v>747</v>
      </c>
    </row>
    <row r="3" spans="1:7" x14ac:dyDescent="0.3">
      <c r="A3" s="155" t="s">
        <v>488</v>
      </c>
      <c r="B3" s="155" t="s">
        <v>71</v>
      </c>
      <c r="C3" s="155" t="s">
        <v>498</v>
      </c>
      <c r="D3" s="155" t="s">
        <v>498</v>
      </c>
      <c r="E3" s="155" t="s">
        <v>748</v>
      </c>
      <c r="F3" s="155" t="s">
        <v>72</v>
      </c>
      <c r="G3" s="155" t="s">
        <v>749</v>
      </c>
    </row>
    <row r="4" spans="1:7" x14ac:dyDescent="0.3">
      <c r="A4" s="155" t="s">
        <v>489</v>
      </c>
      <c r="B4" s="155" t="s">
        <v>73</v>
      </c>
      <c r="C4" s="155" t="s">
        <v>45</v>
      </c>
      <c r="D4" s="155" t="s">
        <v>45</v>
      </c>
      <c r="E4" s="155" t="s">
        <v>750</v>
      </c>
      <c r="F4" s="155" t="s">
        <v>23</v>
      </c>
    </row>
    <row r="5" spans="1:7" x14ac:dyDescent="0.3">
      <c r="A5" s="155" t="s">
        <v>490</v>
      </c>
      <c r="B5" s="155" t="s">
        <v>74</v>
      </c>
      <c r="C5" s="155" t="s">
        <v>751</v>
      </c>
      <c r="D5" s="155" t="s">
        <v>751</v>
      </c>
      <c r="E5" s="155" t="s">
        <v>752</v>
      </c>
      <c r="F5" s="155" t="s">
        <v>753</v>
      </c>
    </row>
    <row r="6" spans="1:7" x14ac:dyDescent="0.3">
      <c r="A6" s="155" t="s">
        <v>491</v>
      </c>
      <c r="B6" s="155" t="s">
        <v>75</v>
      </c>
      <c r="C6" s="155" t="s">
        <v>531</v>
      </c>
      <c r="D6" s="155" t="s">
        <v>531</v>
      </c>
      <c r="E6" s="155" t="s">
        <v>754</v>
      </c>
      <c r="F6" s="155" t="s">
        <v>755</v>
      </c>
    </row>
    <row r="7" spans="1:7" x14ac:dyDescent="0.3">
      <c r="A7" s="155" t="s">
        <v>492</v>
      </c>
      <c r="B7" s="155" t="s">
        <v>76</v>
      </c>
      <c r="C7" s="155" t="s">
        <v>756</v>
      </c>
      <c r="D7" s="155" t="s">
        <v>756</v>
      </c>
      <c r="E7" s="155" t="s">
        <v>25</v>
      </c>
      <c r="F7" s="155" t="s">
        <v>757</v>
      </c>
    </row>
    <row r="8" spans="1:7" x14ac:dyDescent="0.3">
      <c r="A8" s="155" t="s">
        <v>493</v>
      </c>
      <c r="B8" s="155" t="s">
        <v>464</v>
      </c>
      <c r="C8" s="155" t="s">
        <v>758</v>
      </c>
      <c r="D8" s="155" t="s">
        <v>758</v>
      </c>
      <c r="E8" s="155" t="s">
        <v>72</v>
      </c>
      <c r="F8" s="155" t="s">
        <v>27</v>
      </c>
    </row>
    <row r="9" spans="1:7" x14ac:dyDescent="0.3">
      <c r="A9" s="155" t="s">
        <v>494</v>
      </c>
      <c r="B9" s="155" t="s">
        <v>466</v>
      </c>
      <c r="C9" s="155" t="s">
        <v>759</v>
      </c>
      <c r="D9" s="155" t="s">
        <v>759</v>
      </c>
      <c r="E9" s="155" t="s">
        <v>23</v>
      </c>
      <c r="F9" s="155" t="s">
        <v>309</v>
      </c>
    </row>
    <row r="10" spans="1:7" x14ac:dyDescent="0.3">
      <c r="A10" s="155" t="s">
        <v>495</v>
      </c>
      <c r="B10" s="155" t="s">
        <v>496</v>
      </c>
      <c r="C10" s="155" t="s">
        <v>760</v>
      </c>
      <c r="D10" s="155" t="s">
        <v>760</v>
      </c>
      <c r="E10" s="155" t="s">
        <v>753</v>
      </c>
      <c r="F10" s="155" t="s">
        <v>207</v>
      </c>
    </row>
    <row r="11" spans="1:7" x14ac:dyDescent="0.3">
      <c r="A11" s="155" t="s">
        <v>497</v>
      </c>
      <c r="B11" s="155" t="s">
        <v>78</v>
      </c>
      <c r="E11" s="155" t="s">
        <v>755</v>
      </c>
      <c r="F11" s="155" t="s">
        <v>761</v>
      </c>
    </row>
    <row r="12" spans="1:7" x14ac:dyDescent="0.3">
      <c r="A12" s="155" t="s">
        <v>499</v>
      </c>
      <c r="B12" s="155" t="s">
        <v>80</v>
      </c>
      <c r="E12" s="155" t="s">
        <v>757</v>
      </c>
      <c r="F12" s="155" t="s">
        <v>762</v>
      </c>
    </row>
    <row r="13" spans="1:7" x14ac:dyDescent="0.3">
      <c r="A13" s="155" t="s">
        <v>500</v>
      </c>
      <c r="B13" s="155" t="s">
        <v>82</v>
      </c>
      <c r="E13" s="155" t="s">
        <v>27</v>
      </c>
      <c r="F13" s="155" t="s">
        <v>763</v>
      </c>
    </row>
    <row r="14" spans="1:7" x14ac:dyDescent="0.3">
      <c r="A14" s="155" t="s">
        <v>501</v>
      </c>
      <c r="B14" s="155" t="s">
        <v>84</v>
      </c>
      <c r="E14" s="155" t="s">
        <v>309</v>
      </c>
      <c r="F14" s="155" t="s">
        <v>764</v>
      </c>
    </row>
    <row r="15" spans="1:7" x14ac:dyDescent="0.3">
      <c r="A15" s="155" t="s">
        <v>502</v>
      </c>
      <c r="B15" s="155" t="s">
        <v>64</v>
      </c>
      <c r="E15" s="155" t="s">
        <v>207</v>
      </c>
      <c r="F15" s="155" t="s">
        <v>765</v>
      </c>
    </row>
    <row r="16" spans="1:7" x14ac:dyDescent="0.3">
      <c r="A16" s="155" t="s">
        <v>503</v>
      </c>
      <c r="B16" s="155" t="s">
        <v>67</v>
      </c>
      <c r="E16" s="155" t="s">
        <v>761</v>
      </c>
    </row>
    <row r="17" spans="1:5" x14ac:dyDescent="0.3">
      <c r="A17" s="155" t="s">
        <v>504</v>
      </c>
      <c r="B17" s="155" t="s">
        <v>69</v>
      </c>
      <c r="E17" s="155" t="s">
        <v>762</v>
      </c>
    </row>
    <row r="18" spans="1:5" x14ac:dyDescent="0.3">
      <c r="A18" s="155" t="s">
        <v>766</v>
      </c>
      <c r="B18" s="155" t="s">
        <v>767</v>
      </c>
      <c r="E18" s="155" t="s">
        <v>763</v>
      </c>
    </row>
    <row r="19" spans="1:5" x14ac:dyDescent="0.3">
      <c r="A19" s="155" t="s">
        <v>505</v>
      </c>
      <c r="B19" s="155" t="s">
        <v>86</v>
      </c>
      <c r="E19" s="155" t="s">
        <v>764</v>
      </c>
    </row>
    <row r="20" spans="1:5" x14ac:dyDescent="0.3">
      <c r="A20" s="155" t="s">
        <v>506</v>
      </c>
      <c r="B20" s="155" t="s">
        <v>507</v>
      </c>
      <c r="E20" s="155" t="s">
        <v>765</v>
      </c>
    </row>
    <row r="21" spans="1:5" x14ac:dyDescent="0.3">
      <c r="A21" s="155" t="s">
        <v>508</v>
      </c>
      <c r="B21" s="155" t="s">
        <v>90</v>
      </c>
    </row>
    <row r="22" spans="1:5" x14ac:dyDescent="0.3">
      <c r="A22" s="155" t="s">
        <v>509</v>
      </c>
      <c r="B22" s="155" t="s">
        <v>93</v>
      </c>
    </row>
    <row r="23" spans="1:5" x14ac:dyDescent="0.3">
      <c r="A23" s="155" t="s">
        <v>510</v>
      </c>
      <c r="B23" s="155" t="s">
        <v>95</v>
      </c>
    </row>
    <row r="24" spans="1:5" x14ac:dyDescent="0.3">
      <c r="A24" s="155" t="s">
        <v>511</v>
      </c>
      <c r="B24" s="155" t="s">
        <v>97</v>
      </c>
    </row>
    <row r="25" spans="1:5" x14ac:dyDescent="0.3">
      <c r="A25" s="155" t="s">
        <v>512</v>
      </c>
      <c r="B25" s="155" t="s">
        <v>99</v>
      </c>
    </row>
    <row r="26" spans="1:5" x14ac:dyDescent="0.3">
      <c r="A26" s="155" t="s">
        <v>513</v>
      </c>
      <c r="B26" s="155" t="s">
        <v>514</v>
      </c>
    </row>
    <row r="27" spans="1:5" x14ac:dyDescent="0.3">
      <c r="A27" s="155" t="s">
        <v>515</v>
      </c>
      <c r="B27" s="155" t="s">
        <v>102</v>
      </c>
    </row>
    <row r="28" spans="1:5" x14ac:dyDescent="0.3">
      <c r="A28" s="155" t="s">
        <v>516</v>
      </c>
      <c r="B28" s="155" t="s">
        <v>104</v>
      </c>
    </row>
    <row r="29" spans="1:5" x14ac:dyDescent="0.3">
      <c r="A29" s="155" t="s">
        <v>517</v>
      </c>
      <c r="B29" s="155" t="s">
        <v>106</v>
      </c>
    </row>
    <row r="30" spans="1:5" x14ac:dyDescent="0.3">
      <c r="A30" s="155" t="s">
        <v>518</v>
      </c>
      <c r="B30" s="155" t="s">
        <v>108</v>
      </c>
    </row>
    <row r="31" spans="1:5" x14ac:dyDescent="0.3">
      <c r="A31" s="155" t="s">
        <v>519</v>
      </c>
      <c r="B31" s="155" t="s">
        <v>110</v>
      </c>
    </row>
    <row r="32" spans="1:5" x14ac:dyDescent="0.3">
      <c r="A32" s="155" t="s">
        <v>520</v>
      </c>
      <c r="B32" s="155" t="s">
        <v>112</v>
      </c>
    </row>
    <row r="33" spans="1:2" x14ac:dyDescent="0.3">
      <c r="A33" s="155" t="s">
        <v>521</v>
      </c>
      <c r="B33" s="155" t="s">
        <v>114</v>
      </c>
    </row>
    <row r="34" spans="1:2" x14ac:dyDescent="0.3">
      <c r="A34" s="155" t="s">
        <v>522</v>
      </c>
      <c r="B34" s="155" t="s">
        <v>116</v>
      </c>
    </row>
    <row r="35" spans="1:2" x14ac:dyDescent="0.3">
      <c r="A35" s="155" t="s">
        <v>523</v>
      </c>
      <c r="B35" s="155" t="s">
        <v>118</v>
      </c>
    </row>
    <row r="36" spans="1:2" x14ac:dyDescent="0.3">
      <c r="A36" s="155" t="s">
        <v>524</v>
      </c>
      <c r="B36" s="155" t="s">
        <v>120</v>
      </c>
    </row>
    <row r="37" spans="1:2" x14ac:dyDescent="0.3">
      <c r="A37" s="155" t="s">
        <v>525</v>
      </c>
      <c r="B37" s="155" t="s">
        <v>122</v>
      </c>
    </row>
    <row r="38" spans="1:2" x14ac:dyDescent="0.3">
      <c r="A38" s="155" t="s">
        <v>526</v>
      </c>
      <c r="B38" s="155" t="s">
        <v>124</v>
      </c>
    </row>
    <row r="39" spans="1:2" x14ac:dyDescent="0.3">
      <c r="A39" s="155" t="s">
        <v>527</v>
      </c>
      <c r="B39" s="155" t="s">
        <v>126</v>
      </c>
    </row>
    <row r="40" spans="1:2" x14ac:dyDescent="0.3">
      <c r="A40" s="155" t="s">
        <v>528</v>
      </c>
      <c r="B40" s="155" t="s">
        <v>128</v>
      </c>
    </row>
    <row r="41" spans="1:2" x14ac:dyDescent="0.3">
      <c r="A41" s="155" t="s">
        <v>768</v>
      </c>
      <c r="B41" s="155" t="s">
        <v>129</v>
      </c>
    </row>
    <row r="42" spans="1:2" x14ac:dyDescent="0.3">
      <c r="A42" s="155" t="s">
        <v>529</v>
      </c>
      <c r="B42" s="155" t="s">
        <v>130</v>
      </c>
    </row>
    <row r="43" spans="1:2" x14ac:dyDescent="0.3">
      <c r="A43" s="155" t="s">
        <v>530</v>
      </c>
      <c r="B43" s="155" t="s">
        <v>159</v>
      </c>
    </row>
    <row r="44" spans="1:2" x14ac:dyDescent="0.3">
      <c r="A44" s="155" t="s">
        <v>532</v>
      </c>
      <c r="B44" s="155" t="s">
        <v>131</v>
      </c>
    </row>
    <row r="45" spans="1:2" x14ac:dyDescent="0.3">
      <c r="A45" s="155" t="s">
        <v>533</v>
      </c>
      <c r="B45" s="155" t="s">
        <v>133</v>
      </c>
    </row>
    <row r="46" spans="1:2" x14ac:dyDescent="0.3">
      <c r="A46" s="155" t="s">
        <v>534</v>
      </c>
      <c r="B46" s="155" t="s">
        <v>161</v>
      </c>
    </row>
    <row r="47" spans="1:2" x14ac:dyDescent="0.3">
      <c r="A47" s="155" t="s">
        <v>535</v>
      </c>
      <c r="B47" s="155" t="s">
        <v>536</v>
      </c>
    </row>
    <row r="48" spans="1:2" x14ac:dyDescent="0.3">
      <c r="A48" s="155" t="s">
        <v>537</v>
      </c>
      <c r="B48" s="155" t="s">
        <v>538</v>
      </c>
    </row>
    <row r="49" spans="1:2" x14ac:dyDescent="0.3">
      <c r="A49" s="155" t="s">
        <v>539</v>
      </c>
      <c r="B49" s="155" t="s">
        <v>140</v>
      </c>
    </row>
    <row r="50" spans="1:2" x14ac:dyDescent="0.3">
      <c r="A50" s="155" t="s">
        <v>540</v>
      </c>
      <c r="B50" s="155" t="s">
        <v>142</v>
      </c>
    </row>
    <row r="51" spans="1:2" x14ac:dyDescent="0.3">
      <c r="A51" s="155" t="s">
        <v>541</v>
      </c>
      <c r="B51" s="155" t="s">
        <v>144</v>
      </c>
    </row>
    <row r="52" spans="1:2" x14ac:dyDescent="0.3">
      <c r="A52" s="155" t="s">
        <v>542</v>
      </c>
      <c r="B52" s="155" t="s">
        <v>146</v>
      </c>
    </row>
    <row r="53" spans="1:2" x14ac:dyDescent="0.3">
      <c r="A53" s="155" t="s">
        <v>543</v>
      </c>
      <c r="B53" s="155" t="s">
        <v>148</v>
      </c>
    </row>
    <row r="54" spans="1:2" x14ac:dyDescent="0.3">
      <c r="A54" s="155" t="s">
        <v>544</v>
      </c>
      <c r="B54" s="155" t="s">
        <v>150</v>
      </c>
    </row>
    <row r="55" spans="1:2" x14ac:dyDescent="0.3">
      <c r="A55" s="155" t="s">
        <v>545</v>
      </c>
      <c r="B55" s="155" t="s">
        <v>152</v>
      </c>
    </row>
    <row r="56" spans="1:2" x14ac:dyDescent="0.3">
      <c r="A56" s="155" t="s">
        <v>546</v>
      </c>
      <c r="B56" s="155" t="s">
        <v>154</v>
      </c>
    </row>
    <row r="57" spans="1:2" x14ac:dyDescent="0.3">
      <c r="A57" s="155" t="s">
        <v>547</v>
      </c>
      <c r="B57" s="155" t="s">
        <v>156</v>
      </c>
    </row>
    <row r="58" spans="1:2" x14ac:dyDescent="0.3">
      <c r="A58" s="155" t="s">
        <v>548</v>
      </c>
      <c r="B58" s="155" t="s">
        <v>549</v>
      </c>
    </row>
    <row r="59" spans="1:2" x14ac:dyDescent="0.3">
      <c r="A59" s="155" t="s">
        <v>550</v>
      </c>
      <c r="B59" s="155" t="s">
        <v>163</v>
      </c>
    </row>
    <row r="60" spans="1:2" x14ac:dyDescent="0.3">
      <c r="A60" s="155" t="s">
        <v>551</v>
      </c>
      <c r="B60" s="155" t="s">
        <v>165</v>
      </c>
    </row>
    <row r="61" spans="1:2" x14ac:dyDescent="0.3">
      <c r="A61" s="155" t="s">
        <v>552</v>
      </c>
      <c r="B61" s="155" t="s">
        <v>167</v>
      </c>
    </row>
    <row r="62" spans="1:2" x14ac:dyDescent="0.3">
      <c r="A62" s="155" t="s">
        <v>553</v>
      </c>
      <c r="B62" s="155" t="s">
        <v>169</v>
      </c>
    </row>
    <row r="63" spans="1:2" x14ac:dyDescent="0.3">
      <c r="A63" s="155" t="s">
        <v>554</v>
      </c>
      <c r="B63" s="155" t="s">
        <v>171</v>
      </c>
    </row>
    <row r="64" spans="1:2" x14ac:dyDescent="0.3">
      <c r="A64" s="155" t="s">
        <v>555</v>
      </c>
      <c r="B64" s="155" t="s">
        <v>173</v>
      </c>
    </row>
    <row r="65" spans="1:2" x14ac:dyDescent="0.3">
      <c r="A65" s="155" t="s">
        <v>556</v>
      </c>
      <c r="B65" s="155" t="s">
        <v>175</v>
      </c>
    </row>
    <row r="66" spans="1:2" x14ac:dyDescent="0.3">
      <c r="A66" s="155" t="s">
        <v>557</v>
      </c>
      <c r="B66" s="155" t="s">
        <v>177</v>
      </c>
    </row>
    <row r="67" spans="1:2" x14ac:dyDescent="0.3">
      <c r="A67" s="155" t="s">
        <v>558</v>
      </c>
      <c r="B67" s="155" t="s">
        <v>179</v>
      </c>
    </row>
    <row r="68" spans="1:2" x14ac:dyDescent="0.3">
      <c r="A68" s="155" t="s">
        <v>559</v>
      </c>
      <c r="B68" s="155" t="s">
        <v>181</v>
      </c>
    </row>
    <row r="69" spans="1:2" x14ac:dyDescent="0.3">
      <c r="A69" s="155" t="s">
        <v>769</v>
      </c>
      <c r="B69" s="155" t="s">
        <v>399</v>
      </c>
    </row>
    <row r="70" spans="1:2" x14ac:dyDescent="0.3">
      <c r="A70" s="155" t="s">
        <v>560</v>
      </c>
      <c r="B70" s="155" t="s">
        <v>183</v>
      </c>
    </row>
    <row r="71" spans="1:2" x14ac:dyDescent="0.3">
      <c r="A71" s="155" t="s">
        <v>561</v>
      </c>
      <c r="B71" s="155" t="s">
        <v>185</v>
      </c>
    </row>
    <row r="72" spans="1:2" x14ac:dyDescent="0.3">
      <c r="A72" s="155" t="s">
        <v>562</v>
      </c>
      <c r="B72" s="155" t="s">
        <v>187</v>
      </c>
    </row>
    <row r="73" spans="1:2" x14ac:dyDescent="0.3">
      <c r="A73" s="155" t="s">
        <v>563</v>
      </c>
      <c r="B73" s="155" t="s">
        <v>189</v>
      </c>
    </row>
    <row r="74" spans="1:2" x14ac:dyDescent="0.3">
      <c r="A74" s="155" t="s">
        <v>564</v>
      </c>
      <c r="B74" s="155" t="s">
        <v>191</v>
      </c>
    </row>
    <row r="75" spans="1:2" x14ac:dyDescent="0.3">
      <c r="A75" s="155" t="s">
        <v>565</v>
      </c>
      <c r="B75" s="155" t="s">
        <v>566</v>
      </c>
    </row>
    <row r="76" spans="1:2" x14ac:dyDescent="0.3">
      <c r="A76" s="155" t="s">
        <v>567</v>
      </c>
      <c r="B76" s="155" t="s">
        <v>194</v>
      </c>
    </row>
    <row r="77" spans="1:2" x14ac:dyDescent="0.3">
      <c r="A77" s="155" t="s">
        <v>568</v>
      </c>
      <c r="B77" s="155" t="s">
        <v>196</v>
      </c>
    </row>
    <row r="78" spans="1:2" x14ac:dyDescent="0.3">
      <c r="A78" s="155" t="s">
        <v>569</v>
      </c>
      <c r="B78" s="155" t="s">
        <v>198</v>
      </c>
    </row>
    <row r="79" spans="1:2" x14ac:dyDescent="0.3">
      <c r="A79" s="155" t="s">
        <v>570</v>
      </c>
      <c r="B79" s="155" t="s">
        <v>200</v>
      </c>
    </row>
    <row r="80" spans="1:2" x14ac:dyDescent="0.3">
      <c r="A80" s="155" t="s">
        <v>571</v>
      </c>
      <c r="B80" s="155" t="s">
        <v>202</v>
      </c>
    </row>
    <row r="81" spans="1:2" x14ac:dyDescent="0.3">
      <c r="A81" s="155" t="s">
        <v>572</v>
      </c>
      <c r="B81" s="155" t="s">
        <v>573</v>
      </c>
    </row>
    <row r="82" spans="1:2" x14ac:dyDescent="0.3">
      <c r="A82" s="155" t="s">
        <v>574</v>
      </c>
      <c r="B82" s="155" t="s">
        <v>212</v>
      </c>
    </row>
    <row r="83" spans="1:2" x14ac:dyDescent="0.3">
      <c r="A83" s="155" t="s">
        <v>575</v>
      </c>
      <c r="B83" s="155" t="s">
        <v>32</v>
      </c>
    </row>
    <row r="84" spans="1:2" x14ac:dyDescent="0.3">
      <c r="A84" s="155" t="s">
        <v>576</v>
      </c>
      <c r="B84" s="155" t="s">
        <v>214</v>
      </c>
    </row>
    <row r="85" spans="1:2" x14ac:dyDescent="0.3">
      <c r="A85" s="155" t="s">
        <v>577</v>
      </c>
      <c r="B85" s="155" t="s">
        <v>578</v>
      </c>
    </row>
    <row r="86" spans="1:2" x14ac:dyDescent="0.3">
      <c r="A86" s="155" t="s">
        <v>579</v>
      </c>
      <c r="B86" s="155" t="s">
        <v>216</v>
      </c>
    </row>
    <row r="87" spans="1:2" x14ac:dyDescent="0.3">
      <c r="A87" s="155" t="s">
        <v>580</v>
      </c>
      <c r="B87" s="155" t="s">
        <v>581</v>
      </c>
    </row>
    <row r="88" spans="1:2" x14ac:dyDescent="0.3">
      <c r="A88" s="155" t="s">
        <v>582</v>
      </c>
      <c r="B88" s="155" t="s">
        <v>220</v>
      </c>
    </row>
    <row r="89" spans="1:2" x14ac:dyDescent="0.3">
      <c r="A89" s="155" t="s">
        <v>583</v>
      </c>
      <c r="B89" s="155" t="s">
        <v>584</v>
      </c>
    </row>
    <row r="90" spans="1:2" x14ac:dyDescent="0.3">
      <c r="A90" s="155" t="s">
        <v>585</v>
      </c>
      <c r="B90" s="155" t="s">
        <v>586</v>
      </c>
    </row>
    <row r="91" spans="1:2" x14ac:dyDescent="0.3">
      <c r="A91" s="155" t="s">
        <v>587</v>
      </c>
      <c r="B91" s="155" t="s">
        <v>227</v>
      </c>
    </row>
    <row r="92" spans="1:2" x14ac:dyDescent="0.3">
      <c r="A92" s="155" t="s">
        <v>588</v>
      </c>
      <c r="B92" s="155" t="s">
        <v>229</v>
      </c>
    </row>
    <row r="93" spans="1:2" x14ac:dyDescent="0.3">
      <c r="A93" s="155" t="s">
        <v>589</v>
      </c>
      <c r="B93" s="155" t="s">
        <v>590</v>
      </c>
    </row>
    <row r="94" spans="1:2" x14ac:dyDescent="0.3">
      <c r="A94" s="155" t="s">
        <v>591</v>
      </c>
      <c r="B94" s="155" t="s">
        <v>233</v>
      </c>
    </row>
    <row r="95" spans="1:2" x14ac:dyDescent="0.3">
      <c r="A95" s="155" t="s">
        <v>592</v>
      </c>
      <c r="B95" s="155" t="s">
        <v>235</v>
      </c>
    </row>
    <row r="96" spans="1:2" x14ac:dyDescent="0.3">
      <c r="A96" s="155" t="s">
        <v>593</v>
      </c>
      <c r="B96" s="155" t="s">
        <v>237</v>
      </c>
    </row>
    <row r="97" spans="1:2" x14ac:dyDescent="0.3">
      <c r="A97" s="155" t="s">
        <v>594</v>
      </c>
      <c r="B97" s="155" t="s">
        <v>595</v>
      </c>
    </row>
    <row r="98" spans="1:2" x14ac:dyDescent="0.3">
      <c r="A98" s="155" t="s">
        <v>596</v>
      </c>
      <c r="B98" s="155" t="s">
        <v>597</v>
      </c>
    </row>
    <row r="99" spans="1:2" x14ac:dyDescent="0.3">
      <c r="A99" s="155" t="s">
        <v>598</v>
      </c>
      <c r="B99" s="155" t="s">
        <v>599</v>
      </c>
    </row>
    <row r="100" spans="1:2" x14ac:dyDescent="0.3">
      <c r="A100" s="155" t="s">
        <v>770</v>
      </c>
      <c r="B100" s="155" t="s">
        <v>771</v>
      </c>
    </row>
    <row r="101" spans="1:2" x14ac:dyDescent="0.3">
      <c r="A101" s="155" t="s">
        <v>600</v>
      </c>
      <c r="B101" s="155" t="s">
        <v>246</v>
      </c>
    </row>
    <row r="102" spans="1:2" x14ac:dyDescent="0.3">
      <c r="A102" s="155" t="s">
        <v>601</v>
      </c>
      <c r="B102" s="155" t="s">
        <v>244</v>
      </c>
    </row>
    <row r="103" spans="1:2" x14ac:dyDescent="0.3">
      <c r="A103" s="155" t="s">
        <v>602</v>
      </c>
      <c r="B103" s="155" t="s">
        <v>248</v>
      </c>
    </row>
    <row r="104" spans="1:2" x14ac:dyDescent="0.3">
      <c r="A104" s="155" t="s">
        <v>603</v>
      </c>
      <c r="B104" s="155" t="s">
        <v>39</v>
      </c>
    </row>
    <row r="105" spans="1:2" x14ac:dyDescent="0.3">
      <c r="A105" s="155" t="s">
        <v>604</v>
      </c>
      <c r="B105" s="155" t="s">
        <v>605</v>
      </c>
    </row>
    <row r="106" spans="1:2" x14ac:dyDescent="0.3">
      <c r="A106" s="155" t="s">
        <v>606</v>
      </c>
      <c r="B106" s="155" t="s">
        <v>253</v>
      </c>
    </row>
    <row r="107" spans="1:2" x14ac:dyDescent="0.3">
      <c r="A107" s="155" t="s">
        <v>607</v>
      </c>
      <c r="B107" s="155" t="s">
        <v>255</v>
      </c>
    </row>
    <row r="108" spans="1:2" x14ac:dyDescent="0.3">
      <c r="A108" s="155" t="s">
        <v>608</v>
      </c>
      <c r="B108" s="155" t="s">
        <v>47</v>
      </c>
    </row>
    <row r="109" spans="1:2" x14ac:dyDescent="0.3">
      <c r="A109" s="155" t="s">
        <v>609</v>
      </c>
      <c r="B109" s="155" t="s">
        <v>43</v>
      </c>
    </row>
    <row r="110" spans="1:2" x14ac:dyDescent="0.3">
      <c r="A110" s="155" t="s">
        <v>610</v>
      </c>
      <c r="B110" s="155" t="s">
        <v>258</v>
      </c>
    </row>
    <row r="111" spans="1:2" x14ac:dyDescent="0.3">
      <c r="A111" s="155" t="s">
        <v>611</v>
      </c>
      <c r="B111" s="155" t="s">
        <v>49</v>
      </c>
    </row>
    <row r="112" spans="1:2" x14ac:dyDescent="0.3">
      <c r="A112" s="155" t="s">
        <v>612</v>
      </c>
      <c r="B112" s="155" t="s">
        <v>51</v>
      </c>
    </row>
    <row r="113" spans="1:2" x14ac:dyDescent="0.3">
      <c r="A113" s="155" t="s">
        <v>613</v>
      </c>
      <c r="B113" s="155" t="s">
        <v>53</v>
      </c>
    </row>
    <row r="114" spans="1:2" x14ac:dyDescent="0.3">
      <c r="A114" s="155" t="s">
        <v>614</v>
      </c>
      <c r="B114" s="155" t="s">
        <v>55</v>
      </c>
    </row>
    <row r="115" spans="1:2" x14ac:dyDescent="0.3">
      <c r="A115" s="155" t="s">
        <v>615</v>
      </c>
      <c r="B115" s="155" t="s">
        <v>260</v>
      </c>
    </row>
    <row r="116" spans="1:2" x14ac:dyDescent="0.3">
      <c r="A116" s="155" t="s">
        <v>616</v>
      </c>
      <c r="B116" s="155" t="s">
        <v>617</v>
      </c>
    </row>
    <row r="117" spans="1:2" x14ac:dyDescent="0.3">
      <c r="A117" s="155" t="s">
        <v>618</v>
      </c>
      <c r="B117" s="155" t="s">
        <v>264</v>
      </c>
    </row>
    <row r="118" spans="1:2" x14ac:dyDescent="0.3">
      <c r="A118" s="155" t="s">
        <v>619</v>
      </c>
      <c r="B118" s="155" t="s">
        <v>620</v>
      </c>
    </row>
    <row r="119" spans="1:2" x14ac:dyDescent="0.3">
      <c r="A119" s="155" t="s">
        <v>621</v>
      </c>
      <c r="B119" s="155" t="s">
        <v>268</v>
      </c>
    </row>
    <row r="120" spans="1:2" x14ac:dyDescent="0.3">
      <c r="A120" s="155" t="s">
        <v>622</v>
      </c>
      <c r="B120" s="155" t="s">
        <v>270</v>
      </c>
    </row>
    <row r="121" spans="1:2" x14ac:dyDescent="0.3">
      <c r="A121" s="155" t="s">
        <v>623</v>
      </c>
      <c r="B121" s="155" t="s">
        <v>272</v>
      </c>
    </row>
    <row r="122" spans="1:2" x14ac:dyDescent="0.3">
      <c r="A122" s="155" t="s">
        <v>624</v>
      </c>
      <c r="B122" s="155" t="s">
        <v>625</v>
      </c>
    </row>
    <row r="123" spans="1:2" x14ac:dyDescent="0.3">
      <c r="A123" s="155" t="s">
        <v>626</v>
      </c>
      <c r="B123" s="155" t="s">
        <v>275</v>
      </c>
    </row>
    <row r="124" spans="1:2" x14ac:dyDescent="0.3">
      <c r="A124" s="155" t="s">
        <v>627</v>
      </c>
      <c r="B124" s="155" t="s">
        <v>277</v>
      </c>
    </row>
    <row r="125" spans="1:2" x14ac:dyDescent="0.3">
      <c r="A125" s="155" t="s">
        <v>628</v>
      </c>
      <c r="B125" s="155" t="s">
        <v>279</v>
      </c>
    </row>
    <row r="126" spans="1:2" x14ac:dyDescent="0.3">
      <c r="A126" s="155" t="s">
        <v>629</v>
      </c>
      <c r="B126" s="155" t="s">
        <v>280</v>
      </c>
    </row>
    <row r="127" spans="1:2" x14ac:dyDescent="0.3">
      <c r="A127" s="155" t="s">
        <v>630</v>
      </c>
      <c r="B127" s="155" t="s">
        <v>631</v>
      </c>
    </row>
    <row r="128" spans="1:2" x14ac:dyDescent="0.3">
      <c r="A128" s="155" t="s">
        <v>632</v>
      </c>
      <c r="B128" s="155" t="s">
        <v>285</v>
      </c>
    </row>
    <row r="129" spans="1:2" x14ac:dyDescent="0.3">
      <c r="A129" s="155" t="s">
        <v>633</v>
      </c>
      <c r="B129" s="155" t="s">
        <v>57</v>
      </c>
    </row>
    <row r="130" spans="1:2" x14ac:dyDescent="0.3">
      <c r="A130" s="155" t="s">
        <v>634</v>
      </c>
      <c r="B130" s="155" t="s">
        <v>286</v>
      </c>
    </row>
    <row r="131" spans="1:2" x14ac:dyDescent="0.3">
      <c r="A131" s="155" t="s">
        <v>772</v>
      </c>
      <c r="B131" s="155" t="s">
        <v>773</v>
      </c>
    </row>
    <row r="132" spans="1:2" x14ac:dyDescent="0.3">
      <c r="A132" s="155" t="s">
        <v>635</v>
      </c>
      <c r="B132" s="155" t="s">
        <v>288</v>
      </c>
    </row>
    <row r="133" spans="1:2" x14ac:dyDescent="0.3">
      <c r="A133" s="155" t="s">
        <v>636</v>
      </c>
      <c r="B133" s="155" t="s">
        <v>290</v>
      </c>
    </row>
    <row r="134" spans="1:2" x14ac:dyDescent="0.3">
      <c r="A134" s="155" t="s">
        <v>637</v>
      </c>
      <c r="B134" s="155" t="s">
        <v>291</v>
      </c>
    </row>
    <row r="135" spans="1:2" x14ac:dyDescent="0.3">
      <c r="A135" s="155" t="s">
        <v>638</v>
      </c>
      <c r="B135" s="155" t="s">
        <v>292</v>
      </c>
    </row>
    <row r="136" spans="1:2" x14ac:dyDescent="0.3">
      <c r="A136" s="155" t="s">
        <v>639</v>
      </c>
      <c r="B136" s="155" t="s">
        <v>294</v>
      </c>
    </row>
    <row r="137" spans="1:2" x14ac:dyDescent="0.3">
      <c r="A137" s="155" t="s">
        <v>640</v>
      </c>
      <c r="B137" s="155" t="s">
        <v>296</v>
      </c>
    </row>
    <row r="138" spans="1:2" x14ac:dyDescent="0.3">
      <c r="A138" s="155" t="s">
        <v>641</v>
      </c>
      <c r="B138" s="155" t="s">
        <v>298</v>
      </c>
    </row>
    <row r="139" spans="1:2" x14ac:dyDescent="0.3">
      <c r="A139" s="155" t="s">
        <v>642</v>
      </c>
      <c r="B139" s="155" t="s">
        <v>643</v>
      </c>
    </row>
    <row r="140" spans="1:2" x14ac:dyDescent="0.3">
      <c r="A140" s="155" t="s">
        <v>644</v>
      </c>
      <c r="B140" s="155" t="s">
        <v>302</v>
      </c>
    </row>
    <row r="141" spans="1:2" x14ac:dyDescent="0.3">
      <c r="A141" s="155" t="s">
        <v>645</v>
      </c>
      <c r="B141" s="155" t="s">
        <v>304</v>
      </c>
    </row>
    <row r="142" spans="1:2" x14ac:dyDescent="0.3">
      <c r="A142" s="155" t="s">
        <v>646</v>
      </c>
      <c r="B142" s="155" t="s">
        <v>306</v>
      </c>
    </row>
    <row r="143" spans="1:2" x14ac:dyDescent="0.3">
      <c r="A143" s="155" t="s">
        <v>647</v>
      </c>
      <c r="B143" s="155" t="s">
        <v>308</v>
      </c>
    </row>
    <row r="144" spans="1:2" x14ac:dyDescent="0.3">
      <c r="A144" s="155" t="s">
        <v>648</v>
      </c>
      <c r="B144" s="155" t="s">
        <v>311</v>
      </c>
    </row>
    <row r="145" spans="1:2" x14ac:dyDescent="0.3">
      <c r="A145" s="155" t="s">
        <v>649</v>
      </c>
      <c r="B145" s="155" t="s">
        <v>650</v>
      </c>
    </row>
    <row r="146" spans="1:2" x14ac:dyDescent="0.3">
      <c r="A146" s="155" t="s">
        <v>651</v>
      </c>
      <c r="B146" s="155" t="s">
        <v>315</v>
      </c>
    </row>
    <row r="147" spans="1:2" x14ac:dyDescent="0.3">
      <c r="A147" s="155" t="s">
        <v>652</v>
      </c>
      <c r="B147" s="155" t="s">
        <v>317</v>
      </c>
    </row>
    <row r="148" spans="1:2" x14ac:dyDescent="0.3">
      <c r="A148" s="155" t="s">
        <v>653</v>
      </c>
      <c r="B148" s="155" t="s">
        <v>318</v>
      </c>
    </row>
    <row r="149" spans="1:2" x14ac:dyDescent="0.3">
      <c r="A149" s="155" t="s">
        <v>654</v>
      </c>
      <c r="B149" s="155" t="s">
        <v>320</v>
      </c>
    </row>
    <row r="150" spans="1:2" x14ac:dyDescent="0.3">
      <c r="A150" s="155" t="s">
        <v>655</v>
      </c>
      <c r="B150" s="155" t="s">
        <v>323</v>
      </c>
    </row>
    <row r="151" spans="1:2" x14ac:dyDescent="0.3">
      <c r="A151" s="155" t="s">
        <v>656</v>
      </c>
      <c r="B151" s="155" t="s">
        <v>325</v>
      </c>
    </row>
    <row r="152" spans="1:2" x14ac:dyDescent="0.3">
      <c r="A152" s="155" t="s">
        <v>658</v>
      </c>
      <c r="B152" s="155" t="s">
        <v>327</v>
      </c>
    </row>
    <row r="153" spans="1:2" x14ac:dyDescent="0.3">
      <c r="A153" s="155" t="s">
        <v>659</v>
      </c>
      <c r="B153" s="155" t="s">
        <v>329</v>
      </c>
    </row>
    <row r="154" spans="1:2" x14ac:dyDescent="0.3">
      <c r="A154" s="155" t="s">
        <v>660</v>
      </c>
      <c r="B154" s="155" t="s">
        <v>331</v>
      </c>
    </row>
    <row r="155" spans="1:2" x14ac:dyDescent="0.3">
      <c r="A155" s="155" t="s">
        <v>661</v>
      </c>
      <c r="B155" s="155" t="s">
        <v>333</v>
      </c>
    </row>
    <row r="156" spans="1:2" x14ac:dyDescent="0.3">
      <c r="A156" s="155" t="s">
        <v>662</v>
      </c>
      <c r="B156" s="155" t="s">
        <v>335</v>
      </c>
    </row>
    <row r="157" spans="1:2" x14ac:dyDescent="0.3">
      <c r="A157" s="155" t="s">
        <v>663</v>
      </c>
      <c r="B157" s="155" t="s">
        <v>337</v>
      </c>
    </row>
    <row r="158" spans="1:2" x14ac:dyDescent="0.3">
      <c r="A158" s="155" t="s">
        <v>664</v>
      </c>
      <c r="B158" s="155" t="s">
        <v>340</v>
      </c>
    </row>
    <row r="159" spans="1:2" x14ac:dyDescent="0.3">
      <c r="A159" s="155" t="s">
        <v>665</v>
      </c>
      <c r="B159" s="155" t="s">
        <v>342</v>
      </c>
    </row>
    <row r="160" spans="1:2" x14ac:dyDescent="0.3">
      <c r="A160" s="155" t="s">
        <v>666</v>
      </c>
      <c r="B160" s="155" t="s">
        <v>344</v>
      </c>
    </row>
    <row r="161" spans="1:2" x14ac:dyDescent="0.3">
      <c r="A161" s="155" t="s">
        <v>667</v>
      </c>
      <c r="B161" s="155" t="s">
        <v>346</v>
      </c>
    </row>
    <row r="162" spans="1:2" x14ac:dyDescent="0.3">
      <c r="A162" s="155" t="s">
        <v>668</v>
      </c>
      <c r="B162" s="155" t="s">
        <v>349</v>
      </c>
    </row>
    <row r="163" spans="1:2" x14ac:dyDescent="0.3">
      <c r="A163" s="155" t="s">
        <v>669</v>
      </c>
      <c r="B163" s="155" t="s">
        <v>351</v>
      </c>
    </row>
    <row r="164" spans="1:2" x14ac:dyDescent="0.3">
      <c r="A164" s="155" t="s">
        <v>670</v>
      </c>
      <c r="B164" s="155" t="s">
        <v>353</v>
      </c>
    </row>
    <row r="165" spans="1:2" x14ac:dyDescent="0.3">
      <c r="A165" s="155" t="s">
        <v>671</v>
      </c>
      <c r="B165" s="155" t="s">
        <v>355</v>
      </c>
    </row>
    <row r="166" spans="1:2" x14ac:dyDescent="0.3">
      <c r="A166" s="155" t="s">
        <v>774</v>
      </c>
      <c r="B166" s="155" t="s">
        <v>657</v>
      </c>
    </row>
    <row r="167" spans="1:2" x14ac:dyDescent="0.3">
      <c r="A167" s="155" t="s">
        <v>672</v>
      </c>
      <c r="B167" s="155" t="s">
        <v>673</v>
      </c>
    </row>
    <row r="168" spans="1:2" x14ac:dyDescent="0.3">
      <c r="A168" s="155" t="s">
        <v>674</v>
      </c>
      <c r="B168" s="155" t="s">
        <v>359</v>
      </c>
    </row>
    <row r="169" spans="1:2" x14ac:dyDescent="0.3">
      <c r="A169" s="155" t="s">
        <v>675</v>
      </c>
      <c r="B169" s="155" t="s">
        <v>361</v>
      </c>
    </row>
    <row r="170" spans="1:2" x14ac:dyDescent="0.3">
      <c r="A170" s="155" t="s">
        <v>676</v>
      </c>
      <c r="B170" s="155" t="s">
        <v>363</v>
      </c>
    </row>
    <row r="171" spans="1:2" x14ac:dyDescent="0.3">
      <c r="A171" s="155" t="s">
        <v>677</v>
      </c>
      <c r="B171" s="155" t="s">
        <v>365</v>
      </c>
    </row>
    <row r="172" spans="1:2" x14ac:dyDescent="0.3">
      <c r="A172" s="155" t="s">
        <v>678</v>
      </c>
      <c r="B172" s="155" t="s">
        <v>367</v>
      </c>
    </row>
    <row r="173" spans="1:2" x14ac:dyDescent="0.3">
      <c r="A173" s="155" t="s">
        <v>679</v>
      </c>
      <c r="B173" s="155" t="s">
        <v>369</v>
      </c>
    </row>
    <row r="174" spans="1:2" x14ac:dyDescent="0.3">
      <c r="A174" s="155" t="s">
        <v>680</v>
      </c>
      <c r="B174" s="155" t="s">
        <v>371</v>
      </c>
    </row>
    <row r="175" spans="1:2" x14ac:dyDescent="0.3">
      <c r="A175" s="155" t="s">
        <v>681</v>
      </c>
      <c r="B175" s="155" t="s">
        <v>682</v>
      </c>
    </row>
    <row r="176" spans="1:2" x14ac:dyDescent="0.3">
      <c r="A176" s="155" t="s">
        <v>683</v>
      </c>
      <c r="B176" s="155" t="s">
        <v>375</v>
      </c>
    </row>
    <row r="177" spans="1:2" x14ac:dyDescent="0.3">
      <c r="A177" s="155" t="s">
        <v>684</v>
      </c>
      <c r="B177" s="155" t="s">
        <v>377</v>
      </c>
    </row>
    <row r="178" spans="1:2" x14ac:dyDescent="0.3">
      <c r="A178" s="155" t="s">
        <v>685</v>
      </c>
      <c r="B178" s="155" t="s">
        <v>379</v>
      </c>
    </row>
    <row r="179" spans="1:2" x14ac:dyDescent="0.3">
      <c r="A179" s="155" t="s">
        <v>686</v>
      </c>
      <c r="B179" s="155" t="s">
        <v>381</v>
      </c>
    </row>
    <row r="180" spans="1:2" x14ac:dyDescent="0.3">
      <c r="A180" s="155" t="s">
        <v>687</v>
      </c>
      <c r="B180" s="155" t="s">
        <v>383</v>
      </c>
    </row>
    <row r="181" spans="1:2" x14ac:dyDescent="0.3">
      <c r="A181" s="155" t="s">
        <v>688</v>
      </c>
      <c r="B181" s="155" t="s">
        <v>689</v>
      </c>
    </row>
    <row r="182" spans="1:2" x14ac:dyDescent="0.3">
      <c r="A182" s="155" t="s">
        <v>690</v>
      </c>
      <c r="B182" s="155" t="s">
        <v>388</v>
      </c>
    </row>
    <row r="183" spans="1:2" x14ac:dyDescent="0.3">
      <c r="A183" s="155" t="s">
        <v>691</v>
      </c>
      <c r="B183" s="155" t="s">
        <v>390</v>
      </c>
    </row>
    <row r="184" spans="1:2" x14ac:dyDescent="0.3">
      <c r="A184" s="155" t="s">
        <v>692</v>
      </c>
      <c r="B184" s="155" t="s">
        <v>391</v>
      </c>
    </row>
    <row r="185" spans="1:2" x14ac:dyDescent="0.3">
      <c r="A185" s="155" t="s">
        <v>693</v>
      </c>
      <c r="B185" s="155" t="s">
        <v>393</v>
      </c>
    </row>
    <row r="186" spans="1:2" x14ac:dyDescent="0.3">
      <c r="A186" s="155" t="s">
        <v>694</v>
      </c>
      <c r="B186" s="155" t="s">
        <v>395</v>
      </c>
    </row>
    <row r="187" spans="1:2" x14ac:dyDescent="0.3">
      <c r="A187" s="155" t="s">
        <v>695</v>
      </c>
      <c r="B187" s="155" t="s">
        <v>397</v>
      </c>
    </row>
    <row r="188" spans="1:2" x14ac:dyDescent="0.3">
      <c r="A188" s="155" t="s">
        <v>696</v>
      </c>
      <c r="B188" s="155" t="s">
        <v>697</v>
      </c>
    </row>
    <row r="189" spans="1:2" x14ac:dyDescent="0.3">
      <c r="A189" s="155" t="s">
        <v>698</v>
      </c>
      <c r="B189" s="155" t="s">
        <v>699</v>
      </c>
    </row>
    <row r="190" spans="1:2" x14ac:dyDescent="0.3">
      <c r="A190" s="155" t="s">
        <v>700</v>
      </c>
      <c r="B190" s="155" t="s">
        <v>404</v>
      </c>
    </row>
    <row r="191" spans="1:2" x14ac:dyDescent="0.3">
      <c r="A191" s="155" t="s">
        <v>701</v>
      </c>
      <c r="B191" s="155" t="s">
        <v>702</v>
      </c>
    </row>
    <row r="192" spans="1:2" x14ac:dyDescent="0.3">
      <c r="A192" s="155" t="s">
        <v>703</v>
      </c>
      <c r="B192" s="155" t="s">
        <v>408</v>
      </c>
    </row>
    <row r="193" spans="1:2" x14ac:dyDescent="0.3">
      <c r="A193" s="155" t="s">
        <v>704</v>
      </c>
      <c r="B193" s="155" t="s">
        <v>410</v>
      </c>
    </row>
    <row r="194" spans="1:2" x14ac:dyDescent="0.3">
      <c r="A194" s="155" t="s">
        <v>705</v>
      </c>
      <c r="B194" s="155" t="s">
        <v>706</v>
      </c>
    </row>
    <row r="195" spans="1:2" x14ac:dyDescent="0.3">
      <c r="A195" s="155" t="s">
        <v>707</v>
      </c>
      <c r="B195" s="155" t="s">
        <v>414</v>
      </c>
    </row>
    <row r="196" spans="1:2" x14ac:dyDescent="0.3">
      <c r="A196" s="155" t="s">
        <v>708</v>
      </c>
      <c r="B196" s="155" t="s">
        <v>416</v>
      </c>
    </row>
    <row r="197" spans="1:2" x14ac:dyDescent="0.3">
      <c r="A197" s="155" t="s">
        <v>709</v>
      </c>
      <c r="B197" s="155" t="s">
        <v>710</v>
      </c>
    </row>
    <row r="198" spans="1:2" x14ac:dyDescent="0.3">
      <c r="A198" s="155" t="s">
        <v>711</v>
      </c>
      <c r="B198" s="155" t="s">
        <v>420</v>
      </c>
    </row>
    <row r="199" spans="1:2" x14ac:dyDescent="0.3">
      <c r="A199" s="155" t="s">
        <v>712</v>
      </c>
      <c r="B199" s="155" t="s">
        <v>422</v>
      </c>
    </row>
    <row r="200" spans="1:2" x14ac:dyDescent="0.3">
      <c r="A200" s="155" t="s">
        <v>713</v>
      </c>
      <c r="B200" s="155" t="s">
        <v>424</v>
      </c>
    </row>
    <row r="201" spans="1:2" x14ac:dyDescent="0.3">
      <c r="A201" s="155" t="s">
        <v>714</v>
      </c>
      <c r="B201" s="155" t="s">
        <v>425</v>
      </c>
    </row>
    <row r="202" spans="1:2" x14ac:dyDescent="0.3">
      <c r="A202" s="155" t="s">
        <v>715</v>
      </c>
      <c r="B202" s="155" t="s">
        <v>427</v>
      </c>
    </row>
    <row r="203" spans="1:2" x14ac:dyDescent="0.3">
      <c r="A203" s="155" t="s">
        <v>716</v>
      </c>
      <c r="B203" s="155" t="s">
        <v>717</v>
      </c>
    </row>
    <row r="204" spans="1:2" x14ac:dyDescent="0.3">
      <c r="A204" s="155" t="s">
        <v>718</v>
      </c>
      <c r="B204" s="155" t="s">
        <v>431</v>
      </c>
    </row>
    <row r="205" spans="1:2" x14ac:dyDescent="0.3">
      <c r="A205" s="155" t="s">
        <v>719</v>
      </c>
      <c r="B205" s="155" t="s">
        <v>434</v>
      </c>
    </row>
    <row r="206" spans="1:2" x14ac:dyDescent="0.3">
      <c r="A206" s="155" t="s">
        <v>720</v>
      </c>
      <c r="B206" s="155" t="s">
        <v>436</v>
      </c>
    </row>
    <row r="207" spans="1:2" x14ac:dyDescent="0.3">
      <c r="A207" s="155" t="s">
        <v>721</v>
      </c>
      <c r="B207" s="155" t="s">
        <v>438</v>
      </c>
    </row>
    <row r="208" spans="1:2" x14ac:dyDescent="0.3">
      <c r="A208" s="155" t="s">
        <v>722</v>
      </c>
      <c r="B208" s="155" t="s">
        <v>440</v>
      </c>
    </row>
    <row r="209" spans="1:2" x14ac:dyDescent="0.3">
      <c r="A209" s="155" t="s">
        <v>723</v>
      </c>
      <c r="B209" s="155" t="s">
        <v>442</v>
      </c>
    </row>
    <row r="210" spans="1:2" x14ac:dyDescent="0.3">
      <c r="A210" s="155" t="s">
        <v>724</v>
      </c>
      <c r="B210" s="155" t="s">
        <v>448</v>
      </c>
    </row>
    <row r="211" spans="1:2" x14ac:dyDescent="0.3">
      <c r="A211" s="155" t="s">
        <v>725</v>
      </c>
      <c r="B211" s="155" t="s">
        <v>450</v>
      </c>
    </row>
    <row r="212" spans="1:2" x14ac:dyDescent="0.3">
      <c r="A212" s="155" t="s">
        <v>726</v>
      </c>
      <c r="B212" s="155" t="s">
        <v>452</v>
      </c>
    </row>
    <row r="213" spans="1:2" x14ac:dyDescent="0.3">
      <c r="A213" s="155" t="s">
        <v>727</v>
      </c>
      <c r="B213" s="155" t="s">
        <v>454</v>
      </c>
    </row>
    <row r="214" spans="1:2" x14ac:dyDescent="0.3">
      <c r="A214" s="155" t="s">
        <v>728</v>
      </c>
      <c r="B214" s="155" t="s">
        <v>729</v>
      </c>
    </row>
    <row r="215" spans="1:2" x14ac:dyDescent="0.3">
      <c r="A215" s="155" t="s">
        <v>730</v>
      </c>
      <c r="B215" s="155" t="s">
        <v>458</v>
      </c>
    </row>
    <row r="216" spans="1:2" x14ac:dyDescent="0.3">
      <c r="A216" s="155" t="s">
        <v>731</v>
      </c>
      <c r="B216" s="155" t="s">
        <v>462</v>
      </c>
    </row>
    <row r="217" spans="1:2" x14ac:dyDescent="0.3">
      <c r="A217" s="155" t="s">
        <v>732</v>
      </c>
      <c r="B217" s="155" t="s">
        <v>13</v>
      </c>
    </row>
    <row r="218" spans="1:2" x14ac:dyDescent="0.3">
      <c r="A218" s="155" t="s">
        <v>733</v>
      </c>
      <c r="B218" s="155" t="s">
        <v>14</v>
      </c>
    </row>
    <row r="219" spans="1:2" x14ac:dyDescent="0.3">
      <c r="A219" s="155" t="s">
        <v>734</v>
      </c>
      <c r="B219" s="155" t="s">
        <v>15</v>
      </c>
    </row>
    <row r="220" spans="1:2" x14ac:dyDescent="0.3">
      <c r="A220" s="155" t="s">
        <v>735</v>
      </c>
      <c r="B220" s="155" t="s">
        <v>16</v>
      </c>
    </row>
    <row r="221" spans="1:2" x14ac:dyDescent="0.3">
      <c r="A221" s="155" t="s">
        <v>736</v>
      </c>
      <c r="B221" s="155" t="s">
        <v>17</v>
      </c>
    </row>
    <row r="222" spans="1:2" x14ac:dyDescent="0.3">
      <c r="A222" s="155" t="s">
        <v>737</v>
      </c>
      <c r="B222" s="155" t="s">
        <v>18</v>
      </c>
    </row>
    <row r="223" spans="1:2" x14ac:dyDescent="0.3">
      <c r="A223" s="155" t="s">
        <v>738</v>
      </c>
      <c r="B223" s="155" t="s">
        <v>19</v>
      </c>
    </row>
    <row r="224" spans="1:2" x14ac:dyDescent="0.3">
      <c r="A224" s="155" t="s">
        <v>775</v>
      </c>
      <c r="B224" s="155" t="s">
        <v>776</v>
      </c>
    </row>
    <row r="225" spans="1:2" x14ac:dyDescent="0.3">
      <c r="A225" s="155" t="s">
        <v>739</v>
      </c>
      <c r="B225" s="155" t="s">
        <v>740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610E-CB36-44F2-859D-0A35D536EBD4}">
  <sheetPr codeName="Sheet9"/>
  <dimension ref="B1:K365"/>
  <sheetViews>
    <sheetView zoomScaleNormal="100" workbookViewId="0">
      <pane ySplit="7" topLeftCell="A349" activePane="bottomLeft" state="frozen"/>
      <selection pane="bottomLeft" activeCell="F363" sqref="F363"/>
    </sheetView>
  </sheetViews>
  <sheetFormatPr defaultColWidth="11" defaultRowHeight="12.5" x14ac:dyDescent="0.25"/>
  <cols>
    <col min="1" max="1" width="9.1796875" customWidth="1"/>
    <col min="2" max="2" width="15.453125" customWidth="1"/>
    <col min="3" max="3" width="42.81640625" customWidth="1"/>
    <col min="4" max="4" width="15.1796875" bestFit="1" customWidth="1"/>
    <col min="5" max="5" width="9.54296875" bestFit="1" customWidth="1"/>
    <col min="6" max="6" width="15.7265625" customWidth="1"/>
    <col min="7" max="7" width="15.26953125" customWidth="1"/>
    <col min="8" max="8" width="15.26953125" bestFit="1" customWidth="1"/>
    <col min="9" max="9" width="2.54296875" customWidth="1"/>
    <col min="10" max="10" width="25.81640625" customWidth="1"/>
    <col min="11" max="11" width="14.26953125" bestFit="1" customWidth="1"/>
  </cols>
  <sheetData>
    <row r="1" spans="2:11" x14ac:dyDescent="0.25">
      <c r="B1" t="s">
        <v>777</v>
      </c>
      <c r="J1" t="s">
        <v>778</v>
      </c>
    </row>
    <row r="2" spans="2:11" x14ac:dyDescent="0.25">
      <c r="J2" t="s">
        <v>779</v>
      </c>
    </row>
    <row r="3" spans="2:11" x14ac:dyDescent="0.25">
      <c r="B3" t="s">
        <v>780</v>
      </c>
      <c r="D3" t="s">
        <v>781</v>
      </c>
      <c r="J3" t="s">
        <v>782</v>
      </c>
    </row>
    <row r="4" spans="2:11" ht="13" thickBot="1" x14ac:dyDescent="0.3">
      <c r="B4" t="s">
        <v>783</v>
      </c>
      <c r="D4" t="s">
        <v>10</v>
      </c>
      <c r="J4" t="s">
        <v>784</v>
      </c>
    </row>
    <row r="5" spans="2:11" x14ac:dyDescent="0.25">
      <c r="B5" t="s">
        <v>785</v>
      </c>
      <c r="D5" t="s">
        <v>11</v>
      </c>
      <c r="H5" s="192" t="s">
        <v>59</v>
      </c>
    </row>
    <row r="6" spans="2:11" ht="13" thickBot="1" x14ac:dyDescent="0.3">
      <c r="B6" t="s">
        <v>12</v>
      </c>
      <c r="D6" t="s">
        <v>12</v>
      </c>
      <c r="H6" s="193" t="e">
        <f>#REF!</f>
        <v>#REF!</v>
      </c>
    </row>
    <row r="7" spans="2:11" ht="17.5" thickBot="1" x14ac:dyDescent="0.4">
      <c r="B7" s="164" t="s">
        <v>60</v>
      </c>
      <c r="C7" s="165" t="s">
        <v>20</v>
      </c>
      <c r="D7" s="165" t="s">
        <v>29</v>
      </c>
      <c r="E7" s="165" t="s">
        <v>30</v>
      </c>
      <c r="F7" s="165" t="s">
        <v>61</v>
      </c>
      <c r="G7" s="165" t="s">
        <v>44</v>
      </c>
      <c r="H7" s="166" t="s">
        <v>62</v>
      </c>
      <c r="I7" s="167"/>
      <c r="J7" s="168" t="s">
        <v>203</v>
      </c>
      <c r="K7" s="169" t="s">
        <v>786</v>
      </c>
    </row>
    <row r="8" spans="2:11" ht="16" x14ac:dyDescent="0.3">
      <c r="B8" s="182" t="s">
        <v>205</v>
      </c>
      <c r="C8" s="117"/>
      <c r="D8" s="117"/>
      <c r="E8" s="117"/>
      <c r="F8" s="117"/>
      <c r="G8" s="128"/>
      <c r="H8" s="129"/>
      <c r="J8" s="130"/>
      <c r="K8" s="147"/>
    </row>
    <row r="9" spans="2:11" ht="14.15" customHeight="1" x14ac:dyDescent="0.25">
      <c r="B9" s="170" t="s">
        <v>70</v>
      </c>
      <c r="C9" s="2" t="s">
        <v>71</v>
      </c>
      <c r="D9" s="171">
        <v>0</v>
      </c>
      <c r="E9" s="172" t="s">
        <v>72</v>
      </c>
      <c r="F9" s="173">
        <v>0</v>
      </c>
      <c r="G9" s="23">
        <f>D9*F9</f>
        <v>0</v>
      </c>
      <c r="H9" s="24" t="e">
        <f>IF($H$6=0, 0, G9/$H$6)</f>
        <v>#REF!</v>
      </c>
      <c r="J9" s="12"/>
      <c r="K9" s="174">
        <f>Table13546[[#This Row],[Total]]</f>
        <v>0</v>
      </c>
    </row>
    <row r="10" spans="2:11" ht="14.15" customHeight="1" x14ac:dyDescent="0.25">
      <c r="B10" s="170" t="s">
        <v>463</v>
      </c>
      <c r="C10" s="2" t="s">
        <v>464</v>
      </c>
      <c r="D10" s="171">
        <v>0</v>
      </c>
      <c r="E10" s="172" t="s">
        <v>72</v>
      </c>
      <c r="F10" s="173">
        <v>0</v>
      </c>
      <c r="G10" s="23">
        <f t="shared" ref="G10:G41" si="0">D10*F10</f>
        <v>0</v>
      </c>
      <c r="H10" s="24" t="e">
        <f t="shared" ref="H10:H41" si="1">IF($H$6=0, 0, G10/$H$6)</f>
        <v>#REF!</v>
      </c>
      <c r="J10" s="12"/>
      <c r="K10" s="174">
        <f>Table13546[[#This Row],[Total]]</f>
        <v>0</v>
      </c>
    </row>
    <row r="11" spans="2:11" ht="14.15" customHeight="1" x14ac:dyDescent="0.25">
      <c r="B11" s="170" t="s">
        <v>465</v>
      </c>
      <c r="C11" s="2" t="s">
        <v>466</v>
      </c>
      <c r="D11" s="171">
        <v>0</v>
      </c>
      <c r="E11" s="172" t="s">
        <v>72</v>
      </c>
      <c r="F11" s="173">
        <v>0</v>
      </c>
      <c r="G11" s="23">
        <f t="shared" si="0"/>
        <v>0</v>
      </c>
      <c r="H11" s="24" t="e">
        <f t="shared" si="1"/>
        <v>#REF!</v>
      </c>
      <c r="J11" s="12"/>
      <c r="K11" s="174">
        <f>Table13546[[#This Row],[Total]]</f>
        <v>0</v>
      </c>
    </row>
    <row r="12" spans="2:11" ht="14.15" customHeight="1" x14ac:dyDescent="0.25">
      <c r="B12" s="170" t="s">
        <v>467</v>
      </c>
      <c r="C12" s="2" t="s">
        <v>496</v>
      </c>
      <c r="D12" s="171">
        <v>0</v>
      </c>
      <c r="E12" s="172" t="s">
        <v>72</v>
      </c>
      <c r="F12" s="173">
        <v>0</v>
      </c>
      <c r="G12" s="23">
        <f t="shared" si="0"/>
        <v>0</v>
      </c>
      <c r="H12" s="24" t="e">
        <f t="shared" si="1"/>
        <v>#REF!</v>
      </c>
      <c r="J12" s="12"/>
      <c r="K12" s="174">
        <f>Table13546[[#This Row],[Total]]</f>
        <v>0</v>
      </c>
    </row>
    <row r="13" spans="2:11" ht="14.15" customHeight="1" x14ac:dyDescent="0.25">
      <c r="B13" s="170" t="s">
        <v>77</v>
      </c>
      <c r="C13" s="2" t="s">
        <v>78</v>
      </c>
      <c r="D13" s="171" t="e">
        <f>#REF!</f>
        <v>#REF!</v>
      </c>
      <c r="E13" s="172" t="s">
        <v>65</v>
      </c>
      <c r="F13" s="173">
        <v>120</v>
      </c>
      <c r="G13" s="23" t="e">
        <f t="shared" si="0"/>
        <v>#REF!</v>
      </c>
      <c r="H13" s="24" t="e">
        <f t="shared" si="1"/>
        <v>#REF!</v>
      </c>
      <c r="J13" s="12"/>
      <c r="K13" s="174" t="e">
        <f>Table13546[[#This Row],[Total]]</f>
        <v>#REF!</v>
      </c>
    </row>
    <row r="14" spans="2:11" ht="14.15" customHeight="1" x14ac:dyDescent="0.25">
      <c r="B14" s="170" t="s">
        <v>79</v>
      </c>
      <c r="C14" s="2" t="s">
        <v>80</v>
      </c>
      <c r="D14" s="171" t="e">
        <f>#REF!</f>
        <v>#REF!</v>
      </c>
      <c r="E14" s="172" t="s">
        <v>65</v>
      </c>
      <c r="F14" s="173">
        <v>112</v>
      </c>
      <c r="G14" s="23" t="e">
        <f t="shared" si="0"/>
        <v>#REF!</v>
      </c>
      <c r="H14" s="24" t="e">
        <f t="shared" si="1"/>
        <v>#REF!</v>
      </c>
      <c r="J14" s="12"/>
      <c r="K14" s="174" t="e">
        <f>Table13546[[#This Row],[Total]]</f>
        <v>#REF!</v>
      </c>
    </row>
    <row r="15" spans="2:11" ht="14.15" customHeight="1" x14ac:dyDescent="0.25">
      <c r="B15" s="170" t="s">
        <v>81</v>
      </c>
      <c r="C15" s="2" t="s">
        <v>82</v>
      </c>
      <c r="D15" s="171" t="e">
        <f>#REF!</f>
        <v>#REF!</v>
      </c>
      <c r="E15" s="172" t="s">
        <v>65</v>
      </c>
      <c r="F15" s="173">
        <v>90</v>
      </c>
      <c r="G15" s="23" t="e">
        <f t="shared" si="0"/>
        <v>#REF!</v>
      </c>
      <c r="H15" s="24" t="e">
        <f t="shared" si="1"/>
        <v>#REF!</v>
      </c>
      <c r="J15" s="12"/>
      <c r="K15" s="174" t="e">
        <f>Table13546[[#This Row],[Total]]</f>
        <v>#REF!</v>
      </c>
    </row>
    <row r="16" spans="2:11" ht="14.15" customHeight="1" x14ac:dyDescent="0.25">
      <c r="B16" s="170" t="s">
        <v>83</v>
      </c>
      <c r="C16" s="2" t="s">
        <v>84</v>
      </c>
      <c r="D16" s="171" t="e">
        <f>#REF!</f>
        <v>#REF!</v>
      </c>
      <c r="E16" s="172" t="s">
        <v>65</v>
      </c>
      <c r="F16" s="173">
        <v>73</v>
      </c>
      <c r="G16" s="23" t="e">
        <f t="shared" si="0"/>
        <v>#REF!</v>
      </c>
      <c r="H16" s="24" t="e">
        <f t="shared" si="1"/>
        <v>#REF!</v>
      </c>
      <c r="J16" s="12"/>
      <c r="K16" s="174" t="e">
        <f>Table13546[[#This Row],[Total]]</f>
        <v>#REF!</v>
      </c>
    </row>
    <row r="17" spans="2:11" ht="14.15" customHeight="1" x14ac:dyDescent="0.25">
      <c r="B17" s="170" t="s">
        <v>63</v>
      </c>
      <c r="C17" s="2" t="s">
        <v>64</v>
      </c>
      <c r="D17" s="171" t="e">
        <f>#REF!</f>
        <v>#REF!</v>
      </c>
      <c r="E17" s="172" t="s">
        <v>65</v>
      </c>
      <c r="F17" s="173">
        <v>105</v>
      </c>
      <c r="G17" s="23" t="e">
        <f t="shared" si="0"/>
        <v>#REF!</v>
      </c>
      <c r="H17" s="24" t="e">
        <f t="shared" si="1"/>
        <v>#REF!</v>
      </c>
      <c r="J17" s="12"/>
      <c r="K17" s="174" t="e">
        <f>Table13546[[#This Row],[Total]]</f>
        <v>#REF!</v>
      </c>
    </row>
    <row r="18" spans="2:11" ht="14.15" customHeight="1" x14ac:dyDescent="0.25">
      <c r="B18" s="170" t="s">
        <v>66</v>
      </c>
      <c r="C18" s="2" t="s">
        <v>67</v>
      </c>
      <c r="D18" s="171" t="e">
        <f>#REF!</f>
        <v>#REF!</v>
      </c>
      <c r="E18" s="172" t="s">
        <v>65</v>
      </c>
      <c r="F18" s="173">
        <v>102</v>
      </c>
      <c r="G18" s="23" t="e">
        <f t="shared" si="0"/>
        <v>#REF!</v>
      </c>
      <c r="H18" s="24" t="e">
        <f t="shared" si="1"/>
        <v>#REF!</v>
      </c>
      <c r="J18" s="12"/>
      <c r="K18" s="174" t="e">
        <f>Table13546[[#This Row],[Total]]</f>
        <v>#REF!</v>
      </c>
    </row>
    <row r="19" spans="2:11" ht="14.15" customHeight="1" x14ac:dyDescent="0.25">
      <c r="B19" s="170" t="s">
        <v>68</v>
      </c>
      <c r="C19" s="2" t="s">
        <v>69</v>
      </c>
      <c r="D19" s="171" t="e">
        <f>#REF!</f>
        <v>#REF!</v>
      </c>
      <c r="E19" s="172" t="s">
        <v>65</v>
      </c>
      <c r="F19" s="173">
        <v>80</v>
      </c>
      <c r="G19" s="23" t="e">
        <f t="shared" si="0"/>
        <v>#REF!</v>
      </c>
      <c r="H19" s="24" t="e">
        <f t="shared" si="1"/>
        <v>#REF!</v>
      </c>
      <c r="J19" s="12"/>
      <c r="K19" s="174" t="e">
        <f>Table13546[[#This Row],[Total]]</f>
        <v>#REF!</v>
      </c>
    </row>
    <row r="20" spans="2:11" ht="14.15" customHeight="1" x14ac:dyDescent="0.25">
      <c r="B20" s="170" t="s">
        <v>85</v>
      </c>
      <c r="C20" s="2" t="s">
        <v>86</v>
      </c>
      <c r="D20" s="171" t="e">
        <f>#REF!</f>
        <v>#REF!</v>
      </c>
      <c r="E20" s="172" t="s">
        <v>65</v>
      </c>
      <c r="F20" s="173">
        <v>54</v>
      </c>
      <c r="G20" s="23" t="e">
        <f t="shared" si="0"/>
        <v>#REF!</v>
      </c>
      <c r="H20" s="24" t="e">
        <f t="shared" si="1"/>
        <v>#REF!</v>
      </c>
      <c r="J20" s="12"/>
      <c r="K20" s="174" t="e">
        <f>Table13546[[#This Row],[Total]]</f>
        <v>#REF!</v>
      </c>
    </row>
    <row r="21" spans="2:11" ht="14.15" customHeight="1" x14ac:dyDescent="0.25">
      <c r="B21" s="170" t="s">
        <v>87</v>
      </c>
      <c r="C21" s="2" t="s">
        <v>507</v>
      </c>
      <c r="D21" s="171" t="e">
        <f>#REF!</f>
        <v>#REF!</v>
      </c>
      <c r="E21" s="172" t="s">
        <v>91</v>
      </c>
      <c r="F21" s="173">
        <v>0</v>
      </c>
      <c r="G21" s="23" t="e">
        <f t="shared" si="0"/>
        <v>#REF!</v>
      </c>
      <c r="H21" s="24" t="e">
        <f t="shared" si="1"/>
        <v>#REF!</v>
      </c>
      <c r="J21" s="12"/>
      <c r="K21" s="174" t="e">
        <f>Table13546[[#This Row],[Total]]</f>
        <v>#REF!</v>
      </c>
    </row>
    <row r="22" spans="2:11" ht="14.15" customHeight="1" x14ac:dyDescent="0.25">
      <c r="B22" s="170" t="s">
        <v>89</v>
      </c>
      <c r="C22" s="2" t="s">
        <v>90</v>
      </c>
      <c r="D22" s="171" t="e">
        <f>#REF!</f>
        <v>#REF!</v>
      </c>
      <c r="E22" s="172" t="s">
        <v>91</v>
      </c>
      <c r="F22" s="173">
        <v>0</v>
      </c>
      <c r="G22" s="23" t="e">
        <f t="shared" si="0"/>
        <v>#REF!</v>
      </c>
      <c r="H22" s="24" t="e">
        <f t="shared" si="1"/>
        <v>#REF!</v>
      </c>
      <c r="J22" s="12"/>
      <c r="K22" s="174" t="e">
        <f>Table13546[[#This Row],[Total]]</f>
        <v>#REF!</v>
      </c>
    </row>
    <row r="23" spans="2:11" ht="14.15" customHeight="1" x14ac:dyDescent="0.25">
      <c r="B23" s="170" t="s">
        <v>92</v>
      </c>
      <c r="C23" s="2" t="s">
        <v>93</v>
      </c>
      <c r="D23" s="171" t="e">
        <f>#REF!</f>
        <v>#REF!</v>
      </c>
      <c r="E23" s="172" t="s">
        <v>91</v>
      </c>
      <c r="F23" s="173">
        <v>0</v>
      </c>
      <c r="G23" s="23" t="e">
        <f t="shared" si="0"/>
        <v>#REF!</v>
      </c>
      <c r="H23" s="24" t="e">
        <f t="shared" si="1"/>
        <v>#REF!</v>
      </c>
      <c r="J23" s="12"/>
      <c r="K23" s="174" t="e">
        <f>Table13546[[#This Row],[Total]]</f>
        <v>#REF!</v>
      </c>
    </row>
    <row r="24" spans="2:11" ht="14.15" customHeight="1" x14ac:dyDescent="0.25">
      <c r="B24" s="170" t="s">
        <v>94</v>
      </c>
      <c r="C24" s="2" t="s">
        <v>95</v>
      </c>
      <c r="D24" s="171" t="e">
        <f>#REF!</f>
        <v>#REF!</v>
      </c>
      <c r="E24" s="172" t="s">
        <v>91</v>
      </c>
      <c r="F24" s="173">
        <v>0</v>
      </c>
      <c r="G24" s="23" t="e">
        <f t="shared" si="0"/>
        <v>#REF!</v>
      </c>
      <c r="H24" s="24" t="e">
        <f t="shared" si="1"/>
        <v>#REF!</v>
      </c>
      <c r="J24" s="12"/>
      <c r="K24" s="174" t="e">
        <f>Table13546[[#This Row],[Total]]</f>
        <v>#REF!</v>
      </c>
    </row>
    <row r="25" spans="2:11" ht="14.15" customHeight="1" x14ac:dyDescent="0.25">
      <c r="B25" s="170" t="s">
        <v>96</v>
      </c>
      <c r="C25" s="2" t="s">
        <v>97</v>
      </c>
      <c r="D25" s="171">
        <v>0</v>
      </c>
      <c r="E25" s="172" t="s">
        <v>88</v>
      </c>
      <c r="F25" s="173">
        <v>0</v>
      </c>
      <c r="G25" s="23">
        <f t="shared" si="0"/>
        <v>0</v>
      </c>
      <c r="H25" s="24" t="e">
        <f t="shared" si="1"/>
        <v>#REF!</v>
      </c>
      <c r="J25" s="12"/>
      <c r="K25" s="174">
        <f>Table13546[[#This Row],[Total]]</f>
        <v>0</v>
      </c>
    </row>
    <row r="26" spans="2:11" ht="14.15" customHeight="1" x14ac:dyDescent="0.25">
      <c r="B26" s="170" t="s">
        <v>98</v>
      </c>
      <c r="C26" s="2" t="s">
        <v>99</v>
      </c>
      <c r="D26" s="171" t="e">
        <f>#REF!</f>
        <v>#REF!</v>
      </c>
      <c r="E26" s="172" t="s">
        <v>91</v>
      </c>
      <c r="F26" s="173">
        <v>0</v>
      </c>
      <c r="G26" s="23" t="e">
        <f t="shared" si="0"/>
        <v>#REF!</v>
      </c>
      <c r="H26" s="24" t="e">
        <f t="shared" si="1"/>
        <v>#REF!</v>
      </c>
      <c r="J26" s="12"/>
      <c r="K26" s="174" t="e">
        <f>Table13546[[#This Row],[Total]]</f>
        <v>#REF!</v>
      </c>
    </row>
    <row r="27" spans="2:11" ht="14.15" customHeight="1" x14ac:dyDescent="0.25">
      <c r="B27" s="170" t="s">
        <v>100</v>
      </c>
      <c r="C27" s="2" t="s">
        <v>514</v>
      </c>
      <c r="D27" s="171">
        <v>0</v>
      </c>
      <c r="E27" s="172" t="s">
        <v>25</v>
      </c>
      <c r="F27" s="173">
        <v>0</v>
      </c>
      <c r="G27" s="23">
        <f t="shared" si="0"/>
        <v>0</v>
      </c>
      <c r="H27" s="24" t="e">
        <f t="shared" si="1"/>
        <v>#REF!</v>
      </c>
      <c r="J27" s="12"/>
      <c r="K27" s="174">
        <f>Table13546[[#This Row],[Total]]</f>
        <v>0</v>
      </c>
    </row>
    <row r="28" spans="2:11" ht="14.15" customHeight="1" x14ac:dyDescent="0.25">
      <c r="B28" s="170" t="s">
        <v>101</v>
      </c>
      <c r="C28" s="2" t="s">
        <v>102</v>
      </c>
      <c r="D28" s="171" t="e">
        <f>#REF!</f>
        <v>#REF!</v>
      </c>
      <c r="E28" s="172" t="s">
        <v>91</v>
      </c>
      <c r="F28" s="173">
        <v>0</v>
      </c>
      <c r="G28" s="23" t="e">
        <f t="shared" si="0"/>
        <v>#REF!</v>
      </c>
      <c r="H28" s="24" t="e">
        <f t="shared" si="1"/>
        <v>#REF!</v>
      </c>
      <c r="J28" s="12"/>
      <c r="K28" s="174" t="e">
        <f>Table13546[[#This Row],[Total]]</f>
        <v>#REF!</v>
      </c>
    </row>
    <row r="29" spans="2:11" ht="14.15" customHeight="1" x14ac:dyDescent="0.25">
      <c r="B29" s="170" t="s">
        <v>103</v>
      </c>
      <c r="C29" s="2" t="s">
        <v>104</v>
      </c>
      <c r="D29" s="171" t="e">
        <f>#REF!</f>
        <v>#REF!</v>
      </c>
      <c r="E29" s="172" t="s">
        <v>91</v>
      </c>
      <c r="F29" s="173">
        <v>0</v>
      </c>
      <c r="G29" s="23" t="e">
        <f t="shared" si="0"/>
        <v>#REF!</v>
      </c>
      <c r="H29" s="24" t="e">
        <f t="shared" si="1"/>
        <v>#REF!</v>
      </c>
      <c r="J29" s="12"/>
      <c r="K29" s="174" t="e">
        <f>Table13546[[#This Row],[Total]]</f>
        <v>#REF!</v>
      </c>
    </row>
    <row r="30" spans="2:11" ht="14.15" customHeight="1" x14ac:dyDescent="0.25">
      <c r="B30" s="170" t="s">
        <v>105</v>
      </c>
      <c r="C30" s="2" t="s">
        <v>106</v>
      </c>
      <c r="D30" s="171" t="e">
        <f>#REF!</f>
        <v>#REF!</v>
      </c>
      <c r="E30" s="172" t="s">
        <v>91</v>
      </c>
      <c r="F30" s="173">
        <v>0</v>
      </c>
      <c r="G30" s="23" t="e">
        <f t="shared" si="0"/>
        <v>#REF!</v>
      </c>
      <c r="H30" s="24" t="e">
        <f t="shared" si="1"/>
        <v>#REF!</v>
      </c>
      <c r="J30" s="12"/>
      <c r="K30" s="174" t="e">
        <f>Table13546[[#This Row],[Total]]</f>
        <v>#REF!</v>
      </c>
    </row>
    <row r="31" spans="2:11" ht="14.15" customHeight="1" x14ac:dyDescent="0.25">
      <c r="B31" s="170" t="s">
        <v>107</v>
      </c>
      <c r="C31" s="2" t="s">
        <v>108</v>
      </c>
      <c r="D31" s="171" t="e">
        <f>#REF!</f>
        <v>#REF!</v>
      </c>
      <c r="E31" s="172" t="s">
        <v>91</v>
      </c>
      <c r="F31" s="173">
        <v>0</v>
      </c>
      <c r="G31" s="23" t="e">
        <f t="shared" si="0"/>
        <v>#REF!</v>
      </c>
      <c r="H31" s="24" t="e">
        <f t="shared" si="1"/>
        <v>#REF!</v>
      </c>
      <c r="J31" s="12"/>
      <c r="K31" s="174" t="e">
        <f>Table13546[[#This Row],[Total]]</f>
        <v>#REF!</v>
      </c>
    </row>
    <row r="32" spans="2:11" ht="14.15" customHeight="1" x14ac:dyDescent="0.25">
      <c r="B32" s="170" t="s">
        <v>109</v>
      </c>
      <c r="C32" s="2" t="s">
        <v>787</v>
      </c>
      <c r="D32" s="171" t="e">
        <f>#REF!*2</f>
        <v>#REF!</v>
      </c>
      <c r="E32" s="172" t="s">
        <v>25</v>
      </c>
      <c r="F32" s="173">
        <v>500</v>
      </c>
      <c r="G32" s="23" t="e">
        <f t="shared" si="0"/>
        <v>#REF!</v>
      </c>
      <c r="H32" s="24" t="e">
        <f t="shared" si="1"/>
        <v>#REF!</v>
      </c>
      <c r="J32" s="12"/>
      <c r="K32" s="174" t="e">
        <f>Table13546[[#This Row],[Total]]</f>
        <v>#REF!</v>
      </c>
    </row>
    <row r="33" spans="2:11" ht="14.15" customHeight="1" x14ac:dyDescent="0.25">
      <c r="B33" s="170" t="s">
        <v>111</v>
      </c>
      <c r="C33" s="2" t="s">
        <v>112</v>
      </c>
      <c r="D33" s="171">
        <v>0</v>
      </c>
      <c r="E33" s="172" t="s">
        <v>25</v>
      </c>
      <c r="F33" s="173">
        <v>0</v>
      </c>
      <c r="G33" s="23">
        <f t="shared" si="0"/>
        <v>0</v>
      </c>
      <c r="H33" s="24" t="e">
        <f t="shared" si="1"/>
        <v>#REF!</v>
      </c>
      <c r="J33" s="12"/>
      <c r="K33" s="174">
        <f>Table13546[[#This Row],[Total]]</f>
        <v>0</v>
      </c>
    </row>
    <row r="34" spans="2:11" ht="14.15" customHeight="1" x14ac:dyDescent="0.25">
      <c r="B34" s="170" t="s">
        <v>113</v>
      </c>
      <c r="C34" s="2" t="s">
        <v>114</v>
      </c>
      <c r="D34" s="171">
        <v>0</v>
      </c>
      <c r="E34" s="172" t="s">
        <v>25</v>
      </c>
      <c r="F34" s="173">
        <v>0</v>
      </c>
      <c r="G34" s="23">
        <f t="shared" si="0"/>
        <v>0</v>
      </c>
      <c r="H34" s="24" t="e">
        <f t="shared" si="1"/>
        <v>#REF!</v>
      </c>
      <c r="J34" s="12"/>
      <c r="K34" s="174">
        <f>Table13546[[#This Row],[Total]]</f>
        <v>0</v>
      </c>
    </row>
    <row r="35" spans="2:11" ht="14.15" customHeight="1" x14ac:dyDescent="0.25">
      <c r="B35" s="170" t="s">
        <v>115</v>
      </c>
      <c r="C35" s="2" t="s">
        <v>116</v>
      </c>
      <c r="D35" s="171">
        <v>0</v>
      </c>
      <c r="E35" s="172" t="s">
        <v>25</v>
      </c>
      <c r="F35" s="173">
        <v>0</v>
      </c>
      <c r="G35" s="23">
        <f t="shared" si="0"/>
        <v>0</v>
      </c>
      <c r="H35" s="24" t="e">
        <f t="shared" si="1"/>
        <v>#REF!</v>
      </c>
      <c r="J35" s="12"/>
      <c r="K35" s="174">
        <f>Table13546[[#This Row],[Total]]</f>
        <v>0</v>
      </c>
    </row>
    <row r="36" spans="2:11" ht="14.15" customHeight="1" x14ac:dyDescent="0.25">
      <c r="B36" s="170" t="s">
        <v>117</v>
      </c>
      <c r="C36" s="2" t="s">
        <v>118</v>
      </c>
      <c r="D36" s="171" t="e">
        <f>#REF!</f>
        <v>#REF!</v>
      </c>
      <c r="E36" s="172" t="s">
        <v>91</v>
      </c>
      <c r="F36" s="173">
        <v>0</v>
      </c>
      <c r="G36" s="23" t="e">
        <f t="shared" si="0"/>
        <v>#REF!</v>
      </c>
      <c r="H36" s="24" t="e">
        <f t="shared" si="1"/>
        <v>#REF!</v>
      </c>
      <c r="J36" s="12"/>
      <c r="K36" s="174" t="e">
        <f>Table13546[[#This Row],[Total]]</f>
        <v>#REF!</v>
      </c>
    </row>
    <row r="37" spans="2:11" ht="14.15" customHeight="1" x14ac:dyDescent="0.25">
      <c r="B37" s="170" t="s">
        <v>119</v>
      </c>
      <c r="C37" s="2" t="s">
        <v>120</v>
      </c>
      <c r="D37" s="171" t="e">
        <f>#REF!</f>
        <v>#REF!</v>
      </c>
      <c r="E37" s="172" t="s">
        <v>91</v>
      </c>
      <c r="F37" s="173">
        <v>0</v>
      </c>
      <c r="G37" s="23" t="e">
        <f t="shared" si="0"/>
        <v>#REF!</v>
      </c>
      <c r="H37" s="24" t="e">
        <f t="shared" si="1"/>
        <v>#REF!</v>
      </c>
      <c r="J37" s="12"/>
      <c r="K37" s="174" t="e">
        <f>Table13546[[#This Row],[Total]]</f>
        <v>#REF!</v>
      </c>
    </row>
    <row r="38" spans="2:11" ht="14.15" customHeight="1" x14ac:dyDescent="0.25">
      <c r="B38" s="170" t="s">
        <v>121</v>
      </c>
      <c r="C38" s="2" t="s">
        <v>122</v>
      </c>
      <c r="D38" s="171" t="e">
        <f>#REF!</f>
        <v>#REF!</v>
      </c>
      <c r="E38" s="172" t="s">
        <v>91</v>
      </c>
      <c r="F38" s="173">
        <v>0</v>
      </c>
      <c r="G38" s="23" t="e">
        <f t="shared" si="0"/>
        <v>#REF!</v>
      </c>
      <c r="H38" s="24" t="e">
        <f t="shared" si="1"/>
        <v>#REF!</v>
      </c>
      <c r="J38" s="12"/>
      <c r="K38" s="174" t="e">
        <f>Table13546[[#This Row],[Total]]</f>
        <v>#REF!</v>
      </c>
    </row>
    <row r="39" spans="2:11" ht="14.15" customHeight="1" x14ac:dyDescent="0.25">
      <c r="B39" s="170" t="s">
        <v>123</v>
      </c>
      <c r="C39" s="2" t="s">
        <v>124</v>
      </c>
      <c r="D39" s="171" t="e">
        <f>#REF!</f>
        <v>#REF!</v>
      </c>
      <c r="E39" s="172" t="s">
        <v>91</v>
      </c>
      <c r="F39" s="173">
        <v>0</v>
      </c>
      <c r="G39" s="23" t="e">
        <f t="shared" si="0"/>
        <v>#REF!</v>
      </c>
      <c r="H39" s="24" t="e">
        <f t="shared" si="1"/>
        <v>#REF!</v>
      </c>
      <c r="J39" s="12"/>
      <c r="K39" s="174" t="e">
        <f>Table13546[[#This Row],[Total]]</f>
        <v>#REF!</v>
      </c>
    </row>
    <row r="40" spans="2:11" ht="14.15" customHeight="1" x14ac:dyDescent="0.25">
      <c r="B40" s="170" t="s">
        <v>125</v>
      </c>
      <c r="C40" s="2" t="s">
        <v>126</v>
      </c>
      <c r="D40" s="171" t="e">
        <f>#REF!</f>
        <v>#REF!</v>
      </c>
      <c r="E40" s="172" t="s">
        <v>91</v>
      </c>
      <c r="F40" s="173">
        <v>0</v>
      </c>
      <c r="G40" s="23" t="e">
        <f t="shared" si="0"/>
        <v>#REF!</v>
      </c>
      <c r="H40" s="24" t="e">
        <f t="shared" si="1"/>
        <v>#REF!</v>
      </c>
      <c r="J40" s="12"/>
      <c r="K40" s="174" t="e">
        <f>Table13546[[#This Row],[Total]]</f>
        <v>#REF!</v>
      </c>
    </row>
    <row r="41" spans="2:11" ht="14.15" customHeight="1" x14ac:dyDescent="0.25">
      <c r="B41" s="170" t="s">
        <v>127</v>
      </c>
      <c r="C41" s="2" t="s">
        <v>128</v>
      </c>
      <c r="D41" s="171">
        <v>0</v>
      </c>
      <c r="E41" s="172" t="s">
        <v>72</v>
      </c>
      <c r="F41" s="173">
        <v>0</v>
      </c>
      <c r="G41" s="23">
        <f t="shared" si="0"/>
        <v>0</v>
      </c>
      <c r="H41" s="24" t="e">
        <f t="shared" si="1"/>
        <v>#REF!</v>
      </c>
      <c r="J41" s="12"/>
      <c r="K41" s="174">
        <f>Table13546[[#This Row],[Total]]</f>
        <v>0</v>
      </c>
    </row>
    <row r="42" spans="2:11" s="106" customFormat="1" ht="14" x14ac:dyDescent="0.3">
      <c r="B42" s="184"/>
      <c r="C42" s="185"/>
      <c r="D42" s="186"/>
      <c r="E42" s="187"/>
      <c r="F42" s="175" t="s">
        <v>788</v>
      </c>
      <c r="G42" s="176" t="e">
        <f>SUM(G9:G41)</f>
        <v>#REF!</v>
      </c>
      <c r="H42" s="177" t="e">
        <f t="shared" ref="H42:H43" si="2">IF($H$6=0, 0, G42/$H$6)</f>
        <v>#REF!</v>
      </c>
      <c r="J42" s="125"/>
      <c r="K42" s="176" t="e">
        <f>SUM(K9:K41)</f>
        <v>#REF!</v>
      </c>
    </row>
    <row r="43" spans="2:11" ht="18.5" thickBot="1" x14ac:dyDescent="0.4">
      <c r="B43" s="118"/>
      <c r="C43" s="119"/>
      <c r="D43" s="161"/>
      <c r="E43" s="137"/>
      <c r="F43" s="183" t="s">
        <v>779</v>
      </c>
      <c r="G43" s="188" t="e">
        <f>SUM(G42)</f>
        <v>#REF!</v>
      </c>
      <c r="H43" s="189" t="e">
        <f t="shared" si="2"/>
        <v>#REF!</v>
      </c>
      <c r="I43" s="163"/>
      <c r="J43" s="190"/>
      <c r="K43" s="188" t="e">
        <f>SUM(K42)</f>
        <v>#REF!</v>
      </c>
    </row>
    <row r="44" spans="2:11" ht="16.5" x14ac:dyDescent="0.35">
      <c r="B44" s="182" t="s">
        <v>789</v>
      </c>
      <c r="C44" s="117"/>
      <c r="D44" s="162"/>
      <c r="E44" s="117"/>
      <c r="F44" s="117"/>
      <c r="G44" s="128"/>
      <c r="H44" s="129"/>
      <c r="J44" s="130"/>
      <c r="K44" s="147"/>
    </row>
    <row r="45" spans="2:11" ht="14.15" customHeight="1" x14ac:dyDescent="0.25">
      <c r="B45" s="170" t="s">
        <v>158</v>
      </c>
      <c r="C45" s="2" t="s">
        <v>159</v>
      </c>
      <c r="D45" s="178">
        <v>1</v>
      </c>
      <c r="E45" s="172" t="s">
        <v>72</v>
      </c>
      <c r="F45" s="173">
        <v>0</v>
      </c>
      <c r="G45" s="23">
        <f>D45*F45</f>
        <v>0</v>
      </c>
      <c r="H45" s="24" t="e">
        <f t="shared" ref="H45:H61" si="3">IF($H$6=0, 0, G45/$H$6)</f>
        <v>#REF!</v>
      </c>
      <c r="J45" s="97"/>
      <c r="K45" s="148">
        <f>Table13546[[#This Row],[Total]]</f>
        <v>0</v>
      </c>
    </row>
    <row r="46" spans="2:11" ht="14.15" customHeight="1" x14ac:dyDescent="0.25">
      <c r="B46" s="170" t="s">
        <v>132</v>
      </c>
      <c r="C46" s="2" t="s">
        <v>133</v>
      </c>
      <c r="D46" s="178">
        <v>1</v>
      </c>
      <c r="E46" s="172" t="s">
        <v>72</v>
      </c>
      <c r="F46" s="173">
        <v>200</v>
      </c>
      <c r="G46" s="23">
        <f t="shared" ref="G46:G61" si="4">D46*F46</f>
        <v>200</v>
      </c>
      <c r="H46" s="24" t="e">
        <f t="shared" si="3"/>
        <v>#REF!</v>
      </c>
      <c r="J46" s="97"/>
      <c r="K46" s="148">
        <f>Table13546[[#This Row],[Total]]</f>
        <v>200</v>
      </c>
    </row>
    <row r="47" spans="2:11" ht="14.15" customHeight="1" x14ac:dyDescent="0.25">
      <c r="B47" s="170" t="s">
        <v>160</v>
      </c>
      <c r="C47" s="2" t="s">
        <v>161</v>
      </c>
      <c r="D47" s="178">
        <v>100</v>
      </c>
      <c r="E47" s="172" t="s">
        <v>25</v>
      </c>
      <c r="F47" s="173">
        <v>0</v>
      </c>
      <c r="G47" s="23">
        <f t="shared" si="4"/>
        <v>0</v>
      </c>
      <c r="H47" s="24" t="e">
        <f t="shared" si="3"/>
        <v>#REF!</v>
      </c>
      <c r="J47" s="97"/>
      <c r="K47" s="148">
        <f>Table13546[[#This Row],[Total]]</f>
        <v>0</v>
      </c>
    </row>
    <row r="48" spans="2:11" ht="14.15" customHeight="1" x14ac:dyDescent="0.25">
      <c r="B48" s="170" t="s">
        <v>134</v>
      </c>
      <c r="C48" s="2" t="s">
        <v>135</v>
      </c>
      <c r="D48" s="178">
        <v>1039.2</v>
      </c>
      <c r="E48" s="172" t="s">
        <v>65</v>
      </c>
      <c r="F48" s="173">
        <v>0</v>
      </c>
      <c r="G48" s="23">
        <f t="shared" si="4"/>
        <v>0</v>
      </c>
      <c r="H48" s="24" t="e">
        <f t="shared" si="3"/>
        <v>#REF!</v>
      </c>
      <c r="J48" s="97"/>
      <c r="K48" s="148">
        <f>Table13546[[#This Row],[Total]]</f>
        <v>0</v>
      </c>
    </row>
    <row r="49" spans="2:11" ht="14.15" customHeight="1" x14ac:dyDescent="0.25">
      <c r="B49" s="170" t="s">
        <v>134</v>
      </c>
      <c r="C49" s="2" t="s">
        <v>136</v>
      </c>
      <c r="D49" s="178">
        <v>1558.8000000000002</v>
      </c>
      <c r="E49" s="172" t="s">
        <v>65</v>
      </c>
      <c r="F49" s="173">
        <v>0</v>
      </c>
      <c r="G49" s="23">
        <f t="shared" si="4"/>
        <v>0</v>
      </c>
      <c r="H49" s="24" t="e">
        <f t="shared" si="3"/>
        <v>#REF!</v>
      </c>
      <c r="J49" s="97"/>
      <c r="K49" s="148">
        <f>Table13546[[#This Row],[Total]]</f>
        <v>0</v>
      </c>
    </row>
    <row r="50" spans="2:11" ht="14.15" customHeight="1" x14ac:dyDescent="0.25">
      <c r="B50" s="170" t="s">
        <v>137</v>
      </c>
      <c r="C50" s="2" t="s">
        <v>138</v>
      </c>
      <c r="D50" s="178">
        <v>14</v>
      </c>
      <c r="E50" s="172" t="s">
        <v>91</v>
      </c>
      <c r="F50" s="173">
        <v>0</v>
      </c>
      <c r="G50" s="23">
        <f t="shared" si="4"/>
        <v>0</v>
      </c>
      <c r="H50" s="24" t="e">
        <f t="shared" si="3"/>
        <v>#REF!</v>
      </c>
      <c r="J50" s="97"/>
      <c r="K50" s="148">
        <f>Table13546[[#This Row],[Total]]</f>
        <v>0</v>
      </c>
    </row>
    <row r="51" spans="2:11" ht="14.15" customHeight="1" x14ac:dyDescent="0.25">
      <c r="B51" s="170" t="s">
        <v>139</v>
      </c>
      <c r="C51" s="2" t="s">
        <v>140</v>
      </c>
      <c r="D51" s="178">
        <v>300000</v>
      </c>
      <c r="E51" s="172" t="s">
        <v>27</v>
      </c>
      <c r="F51" s="173">
        <v>0</v>
      </c>
      <c r="G51" s="23">
        <f t="shared" si="4"/>
        <v>0</v>
      </c>
      <c r="H51" s="24" t="e">
        <f t="shared" si="3"/>
        <v>#REF!</v>
      </c>
      <c r="J51" s="97"/>
      <c r="K51" s="148">
        <f>Table13546[[#This Row],[Total]]</f>
        <v>0</v>
      </c>
    </row>
    <row r="52" spans="2:11" ht="14.15" customHeight="1" x14ac:dyDescent="0.25">
      <c r="B52" s="170" t="s">
        <v>141</v>
      </c>
      <c r="C52" s="2" t="s">
        <v>142</v>
      </c>
      <c r="D52" s="178">
        <v>0</v>
      </c>
      <c r="E52" s="172" t="s">
        <v>25</v>
      </c>
      <c r="F52" s="173">
        <v>0</v>
      </c>
      <c r="G52" s="23">
        <f t="shared" si="4"/>
        <v>0</v>
      </c>
      <c r="H52" s="24" t="e">
        <f t="shared" si="3"/>
        <v>#REF!</v>
      </c>
      <c r="J52" s="97"/>
      <c r="K52" s="148">
        <f>Table13546[[#This Row],[Total]]</f>
        <v>0</v>
      </c>
    </row>
    <row r="53" spans="2:11" ht="14.15" customHeight="1" x14ac:dyDescent="0.25">
      <c r="B53" s="170" t="s">
        <v>143</v>
      </c>
      <c r="C53" s="2" t="s">
        <v>144</v>
      </c>
      <c r="D53" s="178">
        <v>0</v>
      </c>
      <c r="E53" s="172" t="s">
        <v>23</v>
      </c>
      <c r="F53" s="173">
        <v>0</v>
      </c>
      <c r="G53" s="23">
        <f t="shared" si="4"/>
        <v>0</v>
      </c>
      <c r="H53" s="24" t="e">
        <f t="shared" si="3"/>
        <v>#REF!</v>
      </c>
      <c r="J53" s="97"/>
      <c r="K53" s="148">
        <f>Table13546[[#This Row],[Total]]</f>
        <v>0</v>
      </c>
    </row>
    <row r="54" spans="2:11" ht="14.15" customHeight="1" x14ac:dyDescent="0.25">
      <c r="B54" s="170" t="s">
        <v>145</v>
      </c>
      <c r="C54" s="2" t="s">
        <v>146</v>
      </c>
      <c r="D54" s="178">
        <v>1200</v>
      </c>
      <c r="E54" s="172" t="s">
        <v>23</v>
      </c>
      <c r="F54" s="173">
        <v>0</v>
      </c>
      <c r="G54" s="23">
        <f t="shared" si="4"/>
        <v>0</v>
      </c>
      <c r="H54" s="24" t="e">
        <f t="shared" si="3"/>
        <v>#REF!</v>
      </c>
      <c r="J54" s="97"/>
      <c r="K54" s="148">
        <f>Table13546[[#This Row],[Total]]</f>
        <v>0</v>
      </c>
    </row>
    <row r="55" spans="2:11" ht="14.15" customHeight="1" x14ac:dyDescent="0.25">
      <c r="B55" s="170" t="s">
        <v>147</v>
      </c>
      <c r="C55" s="2" t="s">
        <v>148</v>
      </c>
      <c r="D55" s="178">
        <v>600</v>
      </c>
      <c r="E55" s="172" t="s">
        <v>23</v>
      </c>
      <c r="F55" s="173">
        <v>0</v>
      </c>
      <c r="G55" s="23">
        <f t="shared" si="4"/>
        <v>0</v>
      </c>
      <c r="H55" s="24" t="e">
        <f t="shared" si="3"/>
        <v>#REF!</v>
      </c>
      <c r="J55" s="97"/>
      <c r="K55" s="148">
        <f>Table13546[[#This Row],[Total]]</f>
        <v>0</v>
      </c>
    </row>
    <row r="56" spans="2:11" ht="14.15" customHeight="1" x14ac:dyDescent="0.25">
      <c r="B56" s="170" t="s">
        <v>149</v>
      </c>
      <c r="C56" s="2" t="s">
        <v>150</v>
      </c>
      <c r="D56" s="178">
        <v>1</v>
      </c>
      <c r="E56" s="172" t="s">
        <v>72</v>
      </c>
      <c r="F56" s="173">
        <v>0</v>
      </c>
      <c r="G56" s="23">
        <f t="shared" si="4"/>
        <v>0</v>
      </c>
      <c r="H56" s="24" t="e">
        <f t="shared" si="3"/>
        <v>#REF!</v>
      </c>
      <c r="J56" s="97"/>
      <c r="K56" s="148">
        <f>Table13546[[#This Row],[Total]]</f>
        <v>0</v>
      </c>
    </row>
    <row r="57" spans="2:11" ht="14.15" customHeight="1" x14ac:dyDescent="0.25">
      <c r="B57" s="170" t="s">
        <v>151</v>
      </c>
      <c r="C57" s="2" t="s">
        <v>152</v>
      </c>
      <c r="D57" s="178">
        <v>6</v>
      </c>
      <c r="E57" s="172" t="s">
        <v>91</v>
      </c>
      <c r="F57" s="173">
        <v>0</v>
      </c>
      <c r="G57" s="23">
        <f t="shared" si="4"/>
        <v>0</v>
      </c>
      <c r="H57" s="24" t="e">
        <f t="shared" si="3"/>
        <v>#REF!</v>
      </c>
      <c r="J57" s="97"/>
      <c r="K57" s="148">
        <f>Table13546[[#This Row],[Total]]</f>
        <v>0</v>
      </c>
    </row>
    <row r="58" spans="2:11" ht="14.15" customHeight="1" x14ac:dyDescent="0.25">
      <c r="B58" s="170" t="s">
        <v>153</v>
      </c>
      <c r="C58" s="2" t="s">
        <v>154</v>
      </c>
      <c r="D58" s="178">
        <v>14</v>
      </c>
      <c r="E58" s="172" t="s">
        <v>91</v>
      </c>
      <c r="F58" s="173">
        <v>0</v>
      </c>
      <c r="G58" s="23">
        <f t="shared" si="4"/>
        <v>0</v>
      </c>
      <c r="H58" s="24" t="e">
        <f t="shared" si="3"/>
        <v>#REF!</v>
      </c>
      <c r="J58" s="97"/>
      <c r="K58" s="148">
        <f>Table13546[[#This Row],[Total]]</f>
        <v>0</v>
      </c>
    </row>
    <row r="59" spans="2:11" ht="14.15" customHeight="1" x14ac:dyDescent="0.25">
      <c r="B59" s="170" t="s">
        <v>155</v>
      </c>
      <c r="C59" s="2" t="s">
        <v>156</v>
      </c>
      <c r="D59" s="178">
        <v>14</v>
      </c>
      <c r="E59" s="172" t="s">
        <v>91</v>
      </c>
      <c r="F59" s="173">
        <v>0</v>
      </c>
      <c r="G59" s="23">
        <f t="shared" si="4"/>
        <v>0</v>
      </c>
      <c r="H59" s="24" t="e">
        <f t="shared" si="3"/>
        <v>#REF!</v>
      </c>
      <c r="J59" s="97"/>
      <c r="K59" s="148">
        <f>Table13546[[#This Row],[Total]]</f>
        <v>0</v>
      </c>
    </row>
    <row r="60" spans="2:11" ht="14.15" customHeight="1" x14ac:dyDescent="0.25">
      <c r="B60" s="170" t="s">
        <v>157</v>
      </c>
      <c r="C60" s="2" t="s">
        <v>549</v>
      </c>
      <c r="D60" s="179">
        <v>1</v>
      </c>
      <c r="E60" s="172" t="s">
        <v>25</v>
      </c>
      <c r="F60" s="173">
        <v>0</v>
      </c>
      <c r="G60" s="23">
        <f t="shared" si="4"/>
        <v>0</v>
      </c>
      <c r="H60" s="24" t="e">
        <f t="shared" si="3"/>
        <v>#REF!</v>
      </c>
      <c r="J60" s="97"/>
      <c r="K60" s="148">
        <f>Table13546[[#This Row],[Total]]</f>
        <v>0</v>
      </c>
    </row>
    <row r="61" spans="2:11" ht="14.15" customHeight="1" x14ac:dyDescent="0.25">
      <c r="B61" s="170" t="s">
        <v>162</v>
      </c>
      <c r="C61" s="2" t="s">
        <v>163</v>
      </c>
      <c r="D61" s="179">
        <v>0</v>
      </c>
      <c r="E61" s="172" t="s">
        <v>25</v>
      </c>
      <c r="F61" s="173">
        <v>0</v>
      </c>
      <c r="G61" s="23">
        <f t="shared" si="4"/>
        <v>0</v>
      </c>
      <c r="H61" s="24" t="e">
        <f t="shared" si="3"/>
        <v>#REF!</v>
      </c>
      <c r="J61" s="97"/>
      <c r="K61" s="148">
        <f>Table13546[[#This Row],[Total]]</f>
        <v>0</v>
      </c>
    </row>
    <row r="62" spans="2:11" s="106" customFormat="1" ht="14" x14ac:dyDescent="0.3">
      <c r="B62" s="184"/>
      <c r="C62" s="185"/>
      <c r="D62" s="186"/>
      <c r="E62" s="187"/>
      <c r="F62" s="175" t="s">
        <v>790</v>
      </c>
      <c r="G62" s="176">
        <v>10</v>
      </c>
      <c r="H62" s="177" t="e">
        <f>IF($H$6=0, 0, $G$62/$H$6)</f>
        <v>#REF!</v>
      </c>
      <c r="J62" s="125"/>
      <c r="K62" s="176">
        <f>SUM(K45:K61)</f>
        <v>200</v>
      </c>
    </row>
    <row r="63" spans="2:11" ht="14.15" customHeight="1" x14ac:dyDescent="0.25">
      <c r="B63" s="170" t="s">
        <v>164</v>
      </c>
      <c r="C63" s="2" t="s">
        <v>165</v>
      </c>
      <c r="D63" s="179">
        <v>1</v>
      </c>
      <c r="E63" s="172" t="s">
        <v>72</v>
      </c>
      <c r="F63" s="173">
        <v>0</v>
      </c>
      <c r="G63" s="23">
        <f t="shared" ref="G63:G85" si="5">D63*F63</f>
        <v>0</v>
      </c>
      <c r="H63" s="24" t="e">
        <f t="shared" ref="H63:H87" si="6">IF($H$6=0, 0, G63/$H$6)</f>
        <v>#REF!</v>
      </c>
      <c r="J63" s="97"/>
      <c r="K63" s="148">
        <f>Table13546[[#This Row],[Total]]</f>
        <v>0</v>
      </c>
    </row>
    <row r="64" spans="2:11" s="106" customFormat="1" ht="14" x14ac:dyDescent="0.3">
      <c r="B64" s="184"/>
      <c r="C64" s="185"/>
      <c r="D64" s="186"/>
      <c r="E64" s="187"/>
      <c r="F64" s="175" t="s">
        <v>791</v>
      </c>
      <c r="G64" s="176">
        <f>SUM(G63)</f>
        <v>0</v>
      </c>
      <c r="H64" s="177" t="e">
        <f t="shared" si="6"/>
        <v>#REF!</v>
      </c>
      <c r="J64" s="125"/>
      <c r="K64" s="176">
        <f>SUM(K63)</f>
        <v>0</v>
      </c>
    </row>
    <row r="65" spans="2:11" ht="14.15" customHeight="1" x14ac:dyDescent="0.25">
      <c r="B65" s="170" t="s">
        <v>166</v>
      </c>
      <c r="C65" s="2" t="s">
        <v>167</v>
      </c>
      <c r="D65" s="179">
        <v>0</v>
      </c>
      <c r="E65" s="172" t="s">
        <v>72</v>
      </c>
      <c r="F65" s="173">
        <v>0</v>
      </c>
      <c r="G65" s="23">
        <f t="shared" si="5"/>
        <v>0</v>
      </c>
      <c r="H65" s="24" t="e">
        <f t="shared" si="6"/>
        <v>#REF!</v>
      </c>
      <c r="J65" s="97"/>
      <c r="K65" s="148">
        <f>Table13546[[#This Row],[Total]]</f>
        <v>0</v>
      </c>
    </row>
    <row r="66" spans="2:11" ht="14.15" customHeight="1" x14ac:dyDescent="0.25">
      <c r="B66" s="170" t="s">
        <v>168</v>
      </c>
      <c r="C66" s="2" t="s">
        <v>169</v>
      </c>
      <c r="D66" s="179">
        <v>0</v>
      </c>
      <c r="E66" s="172" t="s">
        <v>25</v>
      </c>
      <c r="F66" s="173">
        <v>0</v>
      </c>
      <c r="G66" s="23">
        <f t="shared" si="5"/>
        <v>0</v>
      </c>
      <c r="H66" s="24" t="e">
        <f t="shared" si="6"/>
        <v>#REF!</v>
      </c>
      <c r="J66" s="97"/>
      <c r="K66" s="148">
        <f>Table13546[[#This Row],[Total]]</f>
        <v>0</v>
      </c>
    </row>
    <row r="67" spans="2:11" ht="14.15" customHeight="1" x14ac:dyDescent="0.25">
      <c r="B67" s="170" t="s">
        <v>170</v>
      </c>
      <c r="C67" s="2" t="s">
        <v>171</v>
      </c>
      <c r="D67" s="179">
        <v>1</v>
      </c>
      <c r="E67" s="172" t="s">
        <v>72</v>
      </c>
      <c r="F67" s="173">
        <v>0</v>
      </c>
      <c r="G67" s="23">
        <f t="shared" si="5"/>
        <v>0</v>
      </c>
      <c r="H67" s="24" t="e">
        <f t="shared" si="6"/>
        <v>#REF!</v>
      </c>
      <c r="J67" s="97"/>
      <c r="K67" s="148">
        <f>Table13546[[#This Row],[Total]]</f>
        <v>0</v>
      </c>
    </row>
    <row r="68" spans="2:11" ht="14.15" customHeight="1" x14ac:dyDescent="0.25">
      <c r="B68" s="170" t="s">
        <v>172</v>
      </c>
      <c r="C68" s="2" t="s">
        <v>173</v>
      </c>
      <c r="D68" s="179">
        <v>1</v>
      </c>
      <c r="E68" s="172" t="s">
        <v>72</v>
      </c>
      <c r="F68" s="173">
        <v>0</v>
      </c>
      <c r="G68" s="23">
        <f t="shared" si="5"/>
        <v>0</v>
      </c>
      <c r="H68" s="24" t="e">
        <f t="shared" si="6"/>
        <v>#REF!</v>
      </c>
      <c r="J68" s="97"/>
      <c r="K68" s="148">
        <f>Table13546[[#This Row],[Total]]</f>
        <v>0</v>
      </c>
    </row>
    <row r="69" spans="2:11" ht="14.15" customHeight="1" x14ac:dyDescent="0.25">
      <c r="B69" s="170" t="s">
        <v>174</v>
      </c>
      <c r="C69" s="2" t="s">
        <v>175</v>
      </c>
      <c r="D69" s="179">
        <v>0</v>
      </c>
      <c r="E69" s="172" t="s">
        <v>72</v>
      </c>
      <c r="F69" s="173">
        <v>0</v>
      </c>
      <c r="G69" s="23">
        <f t="shared" si="5"/>
        <v>0</v>
      </c>
      <c r="H69" s="24" t="e">
        <f t="shared" si="6"/>
        <v>#REF!</v>
      </c>
      <c r="J69" s="97"/>
      <c r="K69" s="148">
        <f>Table13546[[#This Row],[Total]]</f>
        <v>0</v>
      </c>
    </row>
    <row r="70" spans="2:11" ht="14.15" customHeight="1" x14ac:dyDescent="0.25">
      <c r="B70" s="170" t="s">
        <v>176</v>
      </c>
      <c r="C70" s="2" t="s">
        <v>177</v>
      </c>
      <c r="D70" s="179">
        <v>0</v>
      </c>
      <c r="E70" s="172" t="s">
        <v>72</v>
      </c>
      <c r="F70" s="173">
        <v>0</v>
      </c>
      <c r="G70" s="23">
        <f t="shared" si="5"/>
        <v>0</v>
      </c>
      <c r="H70" s="24" t="e">
        <f t="shared" si="6"/>
        <v>#REF!</v>
      </c>
      <c r="J70" s="97"/>
      <c r="K70" s="148">
        <f>Table13546[[#This Row],[Total]]</f>
        <v>0</v>
      </c>
    </row>
    <row r="71" spans="2:11" ht="14.15" customHeight="1" x14ac:dyDescent="0.25">
      <c r="B71" s="170" t="s">
        <v>178</v>
      </c>
      <c r="C71" s="2" t="s">
        <v>179</v>
      </c>
      <c r="D71" s="179">
        <v>0</v>
      </c>
      <c r="E71" s="172" t="s">
        <v>72</v>
      </c>
      <c r="F71" s="173">
        <v>0</v>
      </c>
      <c r="G71" s="23">
        <f t="shared" si="5"/>
        <v>0</v>
      </c>
      <c r="H71" s="24" t="e">
        <f t="shared" si="6"/>
        <v>#REF!</v>
      </c>
      <c r="J71" s="97"/>
      <c r="K71" s="148">
        <f>Table13546[[#This Row],[Total]]</f>
        <v>0</v>
      </c>
    </row>
    <row r="72" spans="2:11" s="106" customFormat="1" ht="14" x14ac:dyDescent="0.3">
      <c r="B72" s="184"/>
      <c r="C72" s="185"/>
      <c r="D72" s="186"/>
      <c r="E72" s="187"/>
      <c r="F72" s="175" t="s">
        <v>792</v>
      </c>
      <c r="G72" s="176">
        <f>SUM(G65:G71)</f>
        <v>0</v>
      </c>
      <c r="H72" s="177" t="e">
        <f t="shared" si="6"/>
        <v>#REF!</v>
      </c>
      <c r="J72" s="125"/>
      <c r="K72" s="176">
        <f>SUM(K65:K71)</f>
        <v>0</v>
      </c>
    </row>
    <row r="73" spans="2:11" ht="13.5" x14ac:dyDescent="0.25">
      <c r="B73" s="170" t="s">
        <v>180</v>
      </c>
      <c r="C73" s="2" t="s">
        <v>181</v>
      </c>
      <c r="D73" s="179">
        <v>10</v>
      </c>
      <c r="E73" s="172" t="s">
        <v>91</v>
      </c>
      <c r="F73" s="173">
        <v>0</v>
      </c>
      <c r="G73" s="23">
        <f t="shared" si="5"/>
        <v>0</v>
      </c>
      <c r="H73" s="24" t="e">
        <f t="shared" si="6"/>
        <v>#REF!</v>
      </c>
      <c r="J73" s="97"/>
      <c r="K73" s="148">
        <f>Table13546[[#This Row],[Total]]</f>
        <v>0</v>
      </c>
    </row>
    <row r="74" spans="2:11" ht="13.5" x14ac:dyDescent="0.25">
      <c r="B74" s="170" t="s">
        <v>182</v>
      </c>
      <c r="C74" s="2" t="s">
        <v>183</v>
      </c>
      <c r="D74" s="179">
        <v>0</v>
      </c>
      <c r="E74" s="172" t="s">
        <v>91</v>
      </c>
      <c r="F74" s="173">
        <v>0</v>
      </c>
      <c r="G74" s="23">
        <f t="shared" si="5"/>
        <v>0</v>
      </c>
      <c r="H74" s="24" t="e">
        <f t="shared" si="6"/>
        <v>#REF!</v>
      </c>
      <c r="J74" s="97"/>
      <c r="K74" s="148">
        <f>Table13546[[#This Row],[Total]]</f>
        <v>0</v>
      </c>
    </row>
    <row r="75" spans="2:11" ht="13.5" x14ac:dyDescent="0.25">
      <c r="B75" s="170" t="s">
        <v>184</v>
      </c>
      <c r="C75" s="2" t="s">
        <v>185</v>
      </c>
      <c r="D75" s="179">
        <v>0</v>
      </c>
      <c r="E75" s="172" t="s">
        <v>91</v>
      </c>
      <c r="F75" s="173">
        <v>0</v>
      </c>
      <c r="G75" s="23">
        <f t="shared" si="5"/>
        <v>0</v>
      </c>
      <c r="H75" s="24" t="e">
        <f t="shared" si="6"/>
        <v>#REF!</v>
      </c>
      <c r="J75" s="97"/>
      <c r="K75" s="148">
        <f>Table13546[[#This Row],[Total]]</f>
        <v>0</v>
      </c>
    </row>
    <row r="76" spans="2:11" ht="13.5" x14ac:dyDescent="0.25">
      <c r="B76" s="170" t="s">
        <v>186</v>
      </c>
      <c r="C76" s="2" t="s">
        <v>187</v>
      </c>
      <c r="D76" s="179">
        <v>14</v>
      </c>
      <c r="E76" s="172" t="s">
        <v>91</v>
      </c>
      <c r="F76" s="173">
        <v>0</v>
      </c>
      <c r="G76" s="23">
        <f t="shared" si="5"/>
        <v>0</v>
      </c>
      <c r="H76" s="24" t="e">
        <f t="shared" si="6"/>
        <v>#REF!</v>
      </c>
      <c r="J76" s="97"/>
      <c r="K76" s="148">
        <f>Table13546[[#This Row],[Total]]</f>
        <v>0</v>
      </c>
    </row>
    <row r="77" spans="2:11" ht="13.5" x14ac:dyDescent="0.25">
      <c r="B77" s="170" t="s">
        <v>188</v>
      </c>
      <c r="C77" s="2" t="s">
        <v>189</v>
      </c>
      <c r="D77" s="179">
        <v>12</v>
      </c>
      <c r="E77" s="172" t="s">
        <v>91</v>
      </c>
      <c r="F77" s="173">
        <v>0</v>
      </c>
      <c r="G77" s="23">
        <f t="shared" si="5"/>
        <v>0</v>
      </c>
      <c r="H77" s="24" t="e">
        <f t="shared" si="6"/>
        <v>#REF!</v>
      </c>
      <c r="J77" s="97"/>
      <c r="K77" s="148">
        <f>Table13546[[#This Row],[Total]]</f>
        <v>0</v>
      </c>
    </row>
    <row r="78" spans="2:11" ht="13.5" x14ac:dyDescent="0.25">
      <c r="B78" s="170" t="s">
        <v>190</v>
      </c>
      <c r="C78" s="2" t="s">
        <v>191</v>
      </c>
      <c r="D78" s="179">
        <v>12</v>
      </c>
      <c r="E78" s="172" t="s">
        <v>91</v>
      </c>
      <c r="F78" s="173">
        <v>0</v>
      </c>
      <c r="G78" s="23">
        <f t="shared" si="5"/>
        <v>0</v>
      </c>
      <c r="H78" s="24" t="e">
        <f t="shared" si="6"/>
        <v>#REF!</v>
      </c>
      <c r="J78" s="97"/>
      <c r="K78" s="148">
        <f>Table13546[[#This Row],[Total]]</f>
        <v>0</v>
      </c>
    </row>
    <row r="79" spans="2:11" s="106" customFormat="1" ht="14" x14ac:dyDescent="0.3">
      <c r="B79" s="184"/>
      <c r="C79" s="185"/>
      <c r="D79" s="186"/>
      <c r="E79" s="187"/>
      <c r="F79" s="175" t="s">
        <v>793</v>
      </c>
      <c r="G79" s="176">
        <f>SUM(G73:G78)</f>
        <v>0</v>
      </c>
      <c r="H79" s="177" t="e">
        <f t="shared" si="6"/>
        <v>#REF!</v>
      </c>
      <c r="J79" s="125"/>
      <c r="K79" s="176">
        <f>SUM(K73:K78)</f>
        <v>0</v>
      </c>
    </row>
    <row r="80" spans="2:11" ht="13.5" x14ac:dyDescent="0.25">
      <c r="B80" s="170" t="s">
        <v>192</v>
      </c>
      <c r="C80" s="2" t="s">
        <v>566</v>
      </c>
      <c r="D80" s="179">
        <v>0</v>
      </c>
      <c r="E80" s="172" t="s">
        <v>72</v>
      </c>
      <c r="F80" s="173">
        <v>0</v>
      </c>
      <c r="G80" s="22">
        <f t="shared" si="5"/>
        <v>0</v>
      </c>
      <c r="H80" s="24" t="e">
        <f t="shared" si="6"/>
        <v>#REF!</v>
      </c>
      <c r="J80" s="97"/>
      <c r="K80" s="148">
        <f>Table13546[[#This Row],[Total]]</f>
        <v>0</v>
      </c>
    </row>
    <row r="81" spans="2:11" ht="13.5" x14ac:dyDescent="0.25">
      <c r="B81" s="170" t="s">
        <v>193</v>
      </c>
      <c r="C81" s="2" t="s">
        <v>194</v>
      </c>
      <c r="D81" s="179">
        <v>0</v>
      </c>
      <c r="E81" s="172" t="s">
        <v>72</v>
      </c>
      <c r="F81" s="173">
        <v>0</v>
      </c>
      <c r="G81" s="22">
        <f t="shared" si="5"/>
        <v>0</v>
      </c>
      <c r="H81" s="24" t="e">
        <f t="shared" si="6"/>
        <v>#REF!</v>
      </c>
      <c r="J81" s="97"/>
      <c r="K81" s="148">
        <f>Table13546[[#This Row],[Total]]</f>
        <v>0</v>
      </c>
    </row>
    <row r="82" spans="2:11" ht="13.5" x14ac:dyDescent="0.25">
      <c r="B82" s="170" t="s">
        <v>195</v>
      </c>
      <c r="C82" s="2" t="s">
        <v>196</v>
      </c>
      <c r="D82" s="179">
        <v>0</v>
      </c>
      <c r="E82" s="172" t="s">
        <v>72</v>
      </c>
      <c r="F82" s="173">
        <v>0</v>
      </c>
      <c r="G82" s="22">
        <f t="shared" si="5"/>
        <v>0</v>
      </c>
      <c r="H82" s="24" t="e">
        <f t="shared" si="6"/>
        <v>#REF!</v>
      </c>
      <c r="J82" s="97"/>
      <c r="K82" s="148">
        <f>Table13546[[#This Row],[Total]]</f>
        <v>0</v>
      </c>
    </row>
    <row r="83" spans="2:11" ht="13.5" x14ac:dyDescent="0.25">
      <c r="B83" s="170" t="s">
        <v>197</v>
      </c>
      <c r="C83" s="2" t="s">
        <v>198</v>
      </c>
      <c r="D83" s="179">
        <v>1</v>
      </c>
      <c r="E83" s="172" t="s">
        <v>72</v>
      </c>
      <c r="F83" s="173">
        <v>0</v>
      </c>
      <c r="G83" s="22">
        <f t="shared" si="5"/>
        <v>0</v>
      </c>
      <c r="H83" s="24" t="e">
        <f t="shared" si="6"/>
        <v>#REF!</v>
      </c>
      <c r="J83" s="97"/>
      <c r="K83" s="148">
        <f>Table13546[[#This Row],[Total]]</f>
        <v>0</v>
      </c>
    </row>
    <row r="84" spans="2:11" ht="13.5" x14ac:dyDescent="0.25">
      <c r="B84" s="170" t="s">
        <v>199</v>
      </c>
      <c r="C84" s="2" t="s">
        <v>200</v>
      </c>
      <c r="D84" s="179">
        <v>0</v>
      </c>
      <c r="E84" s="172" t="s">
        <v>72</v>
      </c>
      <c r="F84" s="173">
        <v>0</v>
      </c>
      <c r="G84" s="22">
        <f t="shared" si="5"/>
        <v>0</v>
      </c>
      <c r="H84" s="24" t="e">
        <f t="shared" si="6"/>
        <v>#REF!</v>
      </c>
      <c r="J84" s="97"/>
      <c r="K84" s="148">
        <f>Table13546[[#This Row],[Total]]</f>
        <v>0</v>
      </c>
    </row>
    <row r="85" spans="2:11" ht="13.5" x14ac:dyDescent="0.25">
      <c r="B85" s="170" t="s">
        <v>201</v>
      </c>
      <c r="C85" s="2" t="s">
        <v>202</v>
      </c>
      <c r="D85" s="179">
        <v>0</v>
      </c>
      <c r="E85" s="172" t="s">
        <v>72</v>
      </c>
      <c r="F85" s="173">
        <v>0</v>
      </c>
      <c r="G85" s="22">
        <f t="shared" si="5"/>
        <v>0</v>
      </c>
      <c r="H85" s="24" t="e">
        <f t="shared" si="6"/>
        <v>#REF!</v>
      </c>
      <c r="J85" s="97"/>
      <c r="K85" s="148">
        <f>Table13546[[#This Row],[Total]]</f>
        <v>0</v>
      </c>
    </row>
    <row r="86" spans="2:11" s="106" customFormat="1" ht="14" x14ac:dyDescent="0.3">
      <c r="B86" s="184"/>
      <c r="C86" s="185"/>
      <c r="D86" s="186"/>
      <c r="E86" s="187"/>
      <c r="F86" s="175" t="s">
        <v>794</v>
      </c>
      <c r="G86" s="176">
        <f>SUM(G80:G85)</f>
        <v>0</v>
      </c>
      <c r="H86" s="177" t="e">
        <f t="shared" si="6"/>
        <v>#REF!</v>
      </c>
      <c r="J86" s="125"/>
      <c r="K86" s="176">
        <f>SUM(K80:K85)</f>
        <v>0</v>
      </c>
    </row>
    <row r="87" spans="2:11" ht="18.5" thickBot="1" x14ac:dyDescent="0.4">
      <c r="B87" s="118"/>
      <c r="C87" s="119"/>
      <c r="D87" s="161"/>
      <c r="E87" s="137"/>
      <c r="F87" s="183" t="s">
        <v>795</v>
      </c>
      <c r="G87" s="188">
        <f>SUM(G62,G64,G72,G79,G86)</f>
        <v>10</v>
      </c>
      <c r="H87" s="189" t="e">
        <f t="shared" si="6"/>
        <v>#REF!</v>
      </c>
      <c r="I87" s="163"/>
      <c r="J87" s="190"/>
      <c r="K87" s="188">
        <f>SUM(K62,K64,K72,K79,K86)</f>
        <v>200</v>
      </c>
    </row>
    <row r="88" spans="2:11" ht="16.5" x14ac:dyDescent="0.35">
      <c r="B88" s="182" t="s">
        <v>796</v>
      </c>
      <c r="C88" s="117"/>
      <c r="D88" s="162"/>
      <c r="E88" s="138"/>
      <c r="F88" s="117"/>
      <c r="G88" s="128"/>
      <c r="H88" s="129"/>
      <c r="J88" s="141"/>
      <c r="K88" s="149"/>
    </row>
    <row r="89" spans="2:11" ht="13.5" x14ac:dyDescent="0.25">
      <c r="B89" s="170" t="s">
        <v>21</v>
      </c>
      <c r="C89" s="2" t="s">
        <v>206</v>
      </c>
      <c r="D89" s="179">
        <v>1</v>
      </c>
      <c r="E89" s="172" t="s">
        <v>72</v>
      </c>
      <c r="F89" s="173">
        <v>0</v>
      </c>
      <c r="G89" s="23">
        <f t="shared" ref="G89:G97" si="7">D89*F89</f>
        <v>0</v>
      </c>
      <c r="H89" s="24" t="e">
        <f t="shared" ref="H89:H98" si="8">IF($H$6=0, 0, G89/$H$6)</f>
        <v>#REF!</v>
      </c>
      <c r="J89" s="142"/>
      <c r="K89" s="148">
        <f>Table13546[[#This Row],[Total]]</f>
        <v>0</v>
      </c>
    </row>
    <row r="90" spans="2:11" ht="13.5" x14ac:dyDescent="0.25">
      <c r="B90" s="170" t="s">
        <v>21</v>
      </c>
      <c r="C90" s="2" t="s">
        <v>22</v>
      </c>
      <c r="D90" s="179">
        <v>2050</v>
      </c>
      <c r="E90" s="172" t="s">
        <v>23</v>
      </c>
      <c r="F90" s="173">
        <v>0</v>
      </c>
      <c r="G90" s="23">
        <f t="shared" si="7"/>
        <v>0</v>
      </c>
      <c r="H90" s="24" t="e">
        <f t="shared" si="8"/>
        <v>#REF!</v>
      </c>
      <c r="J90" s="97"/>
      <c r="K90" s="148">
        <f>Table13546[[#This Row],[Total]]</f>
        <v>0</v>
      </c>
    </row>
    <row r="91" spans="2:11" ht="13.5" x14ac:dyDescent="0.25">
      <c r="B91" s="170" t="s">
        <v>21</v>
      </c>
      <c r="C91" s="2" t="s">
        <v>24</v>
      </c>
      <c r="D91" s="179">
        <v>96</v>
      </c>
      <c r="E91" s="172" t="s">
        <v>25</v>
      </c>
      <c r="F91" s="173">
        <v>0</v>
      </c>
      <c r="G91" s="23">
        <f t="shared" si="7"/>
        <v>0</v>
      </c>
      <c r="H91" s="24" t="e">
        <f t="shared" si="8"/>
        <v>#REF!</v>
      </c>
      <c r="J91" s="97"/>
      <c r="K91" s="148">
        <f>Table13546[[#This Row],[Total]]</f>
        <v>0</v>
      </c>
    </row>
    <row r="92" spans="2:11" ht="13.5" x14ac:dyDescent="0.25">
      <c r="B92" s="170" t="s">
        <v>21</v>
      </c>
      <c r="C92" s="2" t="s">
        <v>26</v>
      </c>
      <c r="D92" s="179">
        <v>18000</v>
      </c>
      <c r="E92" s="172" t="s">
        <v>27</v>
      </c>
      <c r="F92" s="173">
        <v>0</v>
      </c>
      <c r="G92" s="23">
        <f t="shared" si="7"/>
        <v>0</v>
      </c>
      <c r="H92" s="24" t="e">
        <f t="shared" si="8"/>
        <v>#REF!</v>
      </c>
      <c r="J92" s="97"/>
      <c r="K92" s="148">
        <f>Table13546[[#This Row],[Total]]</f>
        <v>0</v>
      </c>
    </row>
    <row r="93" spans="2:11" ht="13.5" x14ac:dyDescent="0.25">
      <c r="B93" s="170" t="s">
        <v>21</v>
      </c>
      <c r="C93" s="2" t="s">
        <v>28</v>
      </c>
      <c r="D93" s="179">
        <v>60000</v>
      </c>
      <c r="E93" s="172" t="s">
        <v>27</v>
      </c>
      <c r="F93" s="173">
        <v>0</v>
      </c>
      <c r="G93" s="23">
        <f t="shared" si="7"/>
        <v>0</v>
      </c>
      <c r="H93" s="24" t="e">
        <f t="shared" si="8"/>
        <v>#REF!</v>
      </c>
      <c r="J93" s="97"/>
      <c r="K93" s="148">
        <f>Table13546[[#This Row],[Total]]</f>
        <v>0</v>
      </c>
    </row>
    <row r="94" spans="2:11" ht="13.5" x14ac:dyDescent="0.25">
      <c r="B94" s="170" t="s">
        <v>21</v>
      </c>
      <c r="C94" s="2" t="s">
        <v>208</v>
      </c>
      <c r="D94" s="179">
        <v>704</v>
      </c>
      <c r="E94" s="172" t="s">
        <v>27</v>
      </c>
      <c r="F94" s="173">
        <v>0</v>
      </c>
      <c r="G94" s="23">
        <f t="shared" si="7"/>
        <v>0</v>
      </c>
      <c r="H94" s="24" t="e">
        <f t="shared" si="8"/>
        <v>#REF!</v>
      </c>
      <c r="J94" s="97"/>
      <c r="K94" s="148">
        <f>Table13546[[#This Row],[Total]]</f>
        <v>0</v>
      </c>
    </row>
    <row r="95" spans="2:11" ht="13.5" x14ac:dyDescent="0.25">
      <c r="B95" s="170" t="s">
        <v>21</v>
      </c>
      <c r="C95" s="2" t="s">
        <v>209</v>
      </c>
      <c r="D95" s="179">
        <v>1</v>
      </c>
      <c r="E95" s="172" t="s">
        <v>27</v>
      </c>
      <c r="F95" s="173">
        <v>0</v>
      </c>
      <c r="G95" s="23">
        <f t="shared" si="7"/>
        <v>0</v>
      </c>
      <c r="H95" s="24" t="e">
        <f t="shared" si="8"/>
        <v>#REF!</v>
      </c>
      <c r="J95" s="97"/>
      <c r="K95" s="148">
        <f>Table13546[[#This Row],[Total]]</f>
        <v>0</v>
      </c>
    </row>
    <row r="96" spans="2:11" ht="13.5" x14ac:dyDescent="0.25">
      <c r="B96" s="170" t="s">
        <v>21</v>
      </c>
      <c r="C96" s="2" t="s">
        <v>210</v>
      </c>
      <c r="D96" s="179">
        <v>1</v>
      </c>
      <c r="E96" s="172" t="s">
        <v>27</v>
      </c>
      <c r="F96" s="173">
        <v>0</v>
      </c>
      <c r="G96" s="23">
        <f t="shared" si="7"/>
        <v>0</v>
      </c>
      <c r="H96" s="24" t="e">
        <f t="shared" si="8"/>
        <v>#REF!</v>
      </c>
      <c r="J96" s="97"/>
      <c r="K96" s="148">
        <f>Table13546[[#This Row],[Total]]</f>
        <v>0</v>
      </c>
    </row>
    <row r="97" spans="2:11" ht="13.5" x14ac:dyDescent="0.25">
      <c r="B97" s="170" t="s">
        <v>21</v>
      </c>
      <c r="C97" s="2" t="s">
        <v>250</v>
      </c>
      <c r="D97" s="179">
        <v>10</v>
      </c>
      <c r="E97" s="172" t="s">
        <v>27</v>
      </c>
      <c r="F97" s="173">
        <v>0</v>
      </c>
      <c r="G97" s="23">
        <f t="shared" si="7"/>
        <v>0</v>
      </c>
      <c r="H97" s="24" t="e">
        <f t="shared" si="8"/>
        <v>#REF!</v>
      </c>
      <c r="J97" s="97"/>
      <c r="K97" s="148">
        <f>Table13546[[#This Row],[Total]]</f>
        <v>0</v>
      </c>
    </row>
    <row r="98" spans="2:11" s="106" customFormat="1" ht="14" x14ac:dyDescent="0.3">
      <c r="B98" s="184"/>
      <c r="C98" s="185"/>
      <c r="D98" s="186"/>
      <c r="E98" s="187"/>
      <c r="F98" s="175" t="s">
        <v>797</v>
      </c>
      <c r="G98" s="176">
        <f>SUM(G89:G97)</f>
        <v>0</v>
      </c>
      <c r="H98" s="177" t="e">
        <f t="shared" si="8"/>
        <v>#REF!</v>
      </c>
      <c r="J98" s="144"/>
      <c r="K98" s="176">
        <f>SUM(K89:K97)</f>
        <v>0</v>
      </c>
    </row>
    <row r="99" spans="2:11" ht="13.5" x14ac:dyDescent="0.25">
      <c r="B99" s="170" t="s">
        <v>211</v>
      </c>
      <c r="C99" s="2" t="s">
        <v>212</v>
      </c>
      <c r="D99" s="179">
        <v>0</v>
      </c>
      <c r="E99" s="172" t="s">
        <v>27</v>
      </c>
      <c r="F99" s="173">
        <v>0</v>
      </c>
      <c r="G99" s="23">
        <f>D99*F99</f>
        <v>0</v>
      </c>
      <c r="H99" s="24" t="e">
        <f>IF($H$6=0, 0, G99/$H$6)</f>
        <v>#REF!</v>
      </c>
      <c r="J99" s="97"/>
      <c r="K99" s="148">
        <f>Table13546[[#This Row],[Total]]</f>
        <v>0</v>
      </c>
    </row>
    <row r="100" spans="2:11" s="106" customFormat="1" ht="14" x14ac:dyDescent="0.3">
      <c r="B100" s="184"/>
      <c r="C100" s="185"/>
      <c r="D100" s="186"/>
      <c r="E100" s="187"/>
      <c r="F100" s="175" t="s">
        <v>798</v>
      </c>
      <c r="G100" s="176">
        <f>SUM(G99)</f>
        <v>0</v>
      </c>
      <c r="H100" s="177" t="e">
        <f t="shared" ref="H100" si="9">IF($H$6=0, 0, G100/$H$6)</f>
        <v>#REF!</v>
      </c>
      <c r="J100" s="144"/>
      <c r="K100" s="176">
        <f>SUM(K99)</f>
        <v>0</v>
      </c>
    </row>
    <row r="101" spans="2:11" ht="13.5" x14ac:dyDescent="0.25">
      <c r="B101" s="170" t="s">
        <v>31</v>
      </c>
      <c r="C101" s="2" t="s">
        <v>32</v>
      </c>
      <c r="D101" s="179">
        <v>120000</v>
      </c>
      <c r="E101" s="172" t="s">
        <v>27</v>
      </c>
      <c r="F101" s="173">
        <v>0</v>
      </c>
      <c r="G101" s="23">
        <f>D101*F101</f>
        <v>0</v>
      </c>
      <c r="H101" s="24" t="e">
        <f>IF($H$6=0, 0, G101/$H$6)</f>
        <v>#REF!</v>
      </c>
      <c r="J101" s="97"/>
      <c r="K101" s="148">
        <f>Table13546[[#This Row],[Total]]</f>
        <v>0</v>
      </c>
    </row>
    <row r="102" spans="2:11" ht="13.5" x14ac:dyDescent="0.25">
      <c r="B102" s="170" t="s">
        <v>213</v>
      </c>
      <c r="C102" s="2" t="s">
        <v>214</v>
      </c>
      <c r="D102" s="179">
        <v>0</v>
      </c>
      <c r="E102" s="172" t="s">
        <v>27</v>
      </c>
      <c r="F102" s="173">
        <v>0</v>
      </c>
      <c r="G102" s="23">
        <f>D102*F102</f>
        <v>0</v>
      </c>
      <c r="H102" s="24" t="e">
        <f>IF($H$6=0, 0, G102/$H$6)</f>
        <v>#REF!</v>
      </c>
      <c r="J102" s="97"/>
      <c r="K102" s="148">
        <f>Table13546[[#This Row],[Total]]</f>
        <v>0</v>
      </c>
    </row>
    <row r="103" spans="2:11" s="106" customFormat="1" ht="14" x14ac:dyDescent="0.3">
      <c r="B103" s="184"/>
      <c r="C103" s="185"/>
      <c r="D103" s="186"/>
      <c r="E103" s="187"/>
      <c r="F103" s="175" t="s">
        <v>799</v>
      </c>
      <c r="G103" s="176">
        <f>SUM(G101:G102)</f>
        <v>0</v>
      </c>
      <c r="H103" s="177" t="e">
        <f t="shared" ref="H103:H107" si="10">IF($H$6=0, 0, G103/$H$6)</f>
        <v>#REF!</v>
      </c>
      <c r="J103" s="145"/>
      <c r="K103" s="176">
        <f>SUM(K101:K102)</f>
        <v>0</v>
      </c>
    </row>
    <row r="104" spans="2:11" ht="13.5" x14ac:dyDescent="0.25">
      <c r="B104" s="170" t="s">
        <v>33</v>
      </c>
      <c r="C104" s="2" t="s">
        <v>34</v>
      </c>
      <c r="D104" s="179">
        <v>300000</v>
      </c>
      <c r="E104" s="172" t="s">
        <v>27</v>
      </c>
      <c r="F104" s="173">
        <v>0</v>
      </c>
      <c r="G104" s="23">
        <f t="shared" ref="G104:G105" si="11">D104*F104</f>
        <v>0</v>
      </c>
      <c r="H104" s="24" t="e">
        <f t="shared" si="10"/>
        <v>#REF!</v>
      </c>
      <c r="J104" s="97"/>
      <c r="K104" s="148">
        <f>Table13546[[#This Row],[Total]]</f>
        <v>0</v>
      </c>
    </row>
    <row r="105" spans="2:11" ht="13.5" x14ac:dyDescent="0.25">
      <c r="B105" s="170" t="s">
        <v>33</v>
      </c>
      <c r="C105" s="2" t="s">
        <v>215</v>
      </c>
      <c r="D105" s="179">
        <v>0</v>
      </c>
      <c r="E105" s="172" t="s">
        <v>27</v>
      </c>
      <c r="F105" s="173">
        <v>0</v>
      </c>
      <c r="G105" s="23">
        <f t="shared" si="11"/>
        <v>0</v>
      </c>
      <c r="H105" s="24" t="e">
        <f t="shared" si="10"/>
        <v>#REF!</v>
      </c>
      <c r="J105" s="97"/>
      <c r="K105" s="148">
        <f>Table13546[[#This Row],[Total]]</f>
        <v>0</v>
      </c>
    </row>
    <row r="106" spans="2:11" s="106" customFormat="1" ht="14" x14ac:dyDescent="0.3">
      <c r="B106" s="184"/>
      <c r="C106" s="185"/>
      <c r="D106" s="186"/>
      <c r="E106" s="187"/>
      <c r="F106" s="175" t="s">
        <v>800</v>
      </c>
      <c r="G106" s="176">
        <f>SUM(G104:G105)</f>
        <v>0</v>
      </c>
      <c r="H106" s="177" t="e">
        <f t="shared" si="10"/>
        <v>#REF!</v>
      </c>
      <c r="J106" s="125"/>
      <c r="K106" s="176">
        <f>SUM(K104:K105)</f>
        <v>0</v>
      </c>
    </row>
    <row r="107" spans="2:11" ht="18.5" thickBot="1" x14ac:dyDescent="0.4">
      <c r="B107" s="118"/>
      <c r="C107" s="119"/>
      <c r="D107" s="161"/>
      <c r="E107" s="137"/>
      <c r="F107" s="183" t="s">
        <v>801</v>
      </c>
      <c r="G107" s="188">
        <f>SUM(G98,G100,G103,G106)</f>
        <v>0</v>
      </c>
      <c r="H107" s="189" t="e">
        <f t="shared" si="10"/>
        <v>#REF!</v>
      </c>
      <c r="I107" s="163"/>
      <c r="J107" s="190"/>
      <c r="K107" s="188">
        <f>SUM(K98,K100,K103,K106)</f>
        <v>0</v>
      </c>
    </row>
    <row r="108" spans="2:11" ht="17" thickBot="1" x14ac:dyDescent="0.4">
      <c r="B108" s="182" t="s">
        <v>802</v>
      </c>
      <c r="C108" s="117"/>
      <c r="D108" s="162"/>
      <c r="E108" s="138"/>
      <c r="F108" s="117"/>
      <c r="G108" s="128"/>
      <c r="H108" s="129"/>
      <c r="J108" s="141"/>
      <c r="K108" s="149"/>
    </row>
    <row r="109" spans="2:11" ht="13.5" x14ac:dyDescent="0.25">
      <c r="B109" s="170" t="s">
        <v>35</v>
      </c>
      <c r="C109" s="2" t="s">
        <v>803</v>
      </c>
      <c r="D109" s="179">
        <v>30000</v>
      </c>
      <c r="E109" s="172" t="s">
        <v>27</v>
      </c>
      <c r="F109" s="173">
        <v>0</v>
      </c>
      <c r="G109" s="23">
        <f t="shared" ref="G109:G111" si="12">D109*F109</f>
        <v>0</v>
      </c>
      <c r="H109" s="24" t="e">
        <f t="shared" ref="H109:H113" si="13">IF($H$6=0, 0, G109/$H$6)</f>
        <v>#REF!</v>
      </c>
      <c r="J109" s="143"/>
      <c r="K109" s="148">
        <f>Table13546[[#This Row],[Total]]</f>
        <v>0</v>
      </c>
    </row>
    <row r="110" spans="2:11" ht="13.5" x14ac:dyDescent="0.25">
      <c r="B110" s="170" t="s">
        <v>35</v>
      </c>
      <c r="C110" s="2" t="s">
        <v>804</v>
      </c>
      <c r="D110" s="179">
        <v>0</v>
      </c>
      <c r="E110" s="172" t="s">
        <v>27</v>
      </c>
      <c r="F110" s="173">
        <v>0</v>
      </c>
      <c r="G110" s="23">
        <f t="shared" si="12"/>
        <v>0</v>
      </c>
      <c r="H110" s="24" t="e">
        <f t="shared" si="13"/>
        <v>#REF!</v>
      </c>
      <c r="J110" s="97"/>
      <c r="K110" s="148">
        <f>Table13546[[#This Row],[Total]]</f>
        <v>0</v>
      </c>
    </row>
    <row r="111" spans="2:11" ht="13.5" x14ac:dyDescent="0.25">
      <c r="B111" s="170" t="s">
        <v>35</v>
      </c>
      <c r="C111" s="2" t="s">
        <v>36</v>
      </c>
      <c r="D111" s="179">
        <v>33075</v>
      </c>
      <c r="E111" s="172" t="s">
        <v>27</v>
      </c>
      <c r="F111" s="173">
        <v>0</v>
      </c>
      <c r="G111" s="23">
        <f t="shared" si="12"/>
        <v>0</v>
      </c>
      <c r="H111" s="24" t="e">
        <f t="shared" si="13"/>
        <v>#REF!</v>
      </c>
      <c r="J111" s="97"/>
      <c r="K111" s="148">
        <f>Table13546[[#This Row],[Total]]</f>
        <v>0</v>
      </c>
    </row>
    <row r="112" spans="2:11" s="106" customFormat="1" ht="14" x14ac:dyDescent="0.3">
      <c r="B112" s="184"/>
      <c r="C112" s="185"/>
      <c r="D112" s="186"/>
      <c r="E112" s="187"/>
      <c r="F112" s="175" t="s">
        <v>805</v>
      </c>
      <c r="G112" s="176">
        <f>SUM(G109:G111)</f>
        <v>0</v>
      </c>
      <c r="H112" s="177" t="e">
        <f t="shared" si="13"/>
        <v>#REF!</v>
      </c>
      <c r="J112" s="125"/>
      <c r="K112" s="176">
        <f>SUM(K109:K111)</f>
        <v>0</v>
      </c>
    </row>
    <row r="113" spans="2:11" ht="18.5" thickBot="1" x14ac:dyDescent="0.4">
      <c r="B113" s="118"/>
      <c r="C113" s="119"/>
      <c r="D113" s="161"/>
      <c r="E113" s="137"/>
      <c r="F113" s="183" t="s">
        <v>806</v>
      </c>
      <c r="G113" s="188">
        <f>SUM(G112)</f>
        <v>0</v>
      </c>
      <c r="H113" s="189" t="e">
        <f t="shared" si="13"/>
        <v>#REF!</v>
      </c>
      <c r="I113" s="163"/>
      <c r="J113" s="190"/>
      <c r="K113" s="188">
        <f>SUM(K112)</f>
        <v>0</v>
      </c>
    </row>
    <row r="114" spans="2:11" ht="16.5" x14ac:dyDescent="0.35">
      <c r="B114" s="182" t="s">
        <v>807</v>
      </c>
      <c r="C114" s="117"/>
      <c r="D114" s="162"/>
      <c r="E114" s="138"/>
      <c r="F114" s="117"/>
      <c r="G114" s="128"/>
      <c r="H114" s="129"/>
      <c r="J114" s="141"/>
      <c r="K114" s="149"/>
    </row>
    <row r="115" spans="2:11" ht="13.5" x14ac:dyDescent="0.25">
      <c r="B115" s="170" t="s">
        <v>217</v>
      </c>
      <c r="C115" s="2" t="s">
        <v>218</v>
      </c>
      <c r="D115" s="179">
        <v>1</v>
      </c>
      <c r="E115" s="172" t="s">
        <v>72</v>
      </c>
      <c r="F115" s="173">
        <v>0</v>
      </c>
      <c r="G115" s="23">
        <f t="shared" ref="G115:G121" si="14">D115*F115</f>
        <v>0</v>
      </c>
      <c r="H115" s="24" t="e">
        <f t="shared" ref="H115:H123" si="15">IF($H$6=0, 0, G115/$H$6)</f>
        <v>#REF!</v>
      </c>
      <c r="J115" s="97"/>
      <c r="K115" s="148">
        <f>Table13546[[#This Row],[Total]]</f>
        <v>0</v>
      </c>
    </row>
    <row r="116" spans="2:11" ht="13.5" x14ac:dyDescent="0.25">
      <c r="B116" s="170" t="s">
        <v>219</v>
      </c>
      <c r="C116" s="2" t="s">
        <v>220</v>
      </c>
      <c r="D116" s="179">
        <v>1</v>
      </c>
      <c r="E116" s="172" t="s">
        <v>72</v>
      </c>
      <c r="F116" s="173">
        <v>0</v>
      </c>
      <c r="G116" s="23">
        <f t="shared" si="14"/>
        <v>0</v>
      </c>
      <c r="H116" s="24" t="e">
        <f t="shared" si="15"/>
        <v>#REF!</v>
      </c>
      <c r="J116" s="97"/>
      <c r="K116" s="148">
        <f>Table13546[[#This Row],[Total]]</f>
        <v>0</v>
      </c>
    </row>
    <row r="117" spans="2:11" ht="13.5" x14ac:dyDescent="0.25">
      <c r="B117" s="170" t="s">
        <v>221</v>
      </c>
      <c r="C117" s="2" t="s">
        <v>222</v>
      </c>
      <c r="D117" s="179">
        <v>150</v>
      </c>
      <c r="E117" s="172" t="s">
        <v>25</v>
      </c>
      <c r="F117" s="173">
        <v>0</v>
      </c>
      <c r="G117" s="23">
        <f t="shared" si="14"/>
        <v>0</v>
      </c>
      <c r="H117" s="24" t="e">
        <f t="shared" si="15"/>
        <v>#REF!</v>
      </c>
      <c r="J117" s="97"/>
      <c r="K117" s="148">
        <f>Table13546[[#This Row],[Total]]</f>
        <v>0</v>
      </c>
    </row>
    <row r="118" spans="2:11" ht="13.5" x14ac:dyDescent="0.25">
      <c r="B118" s="170" t="s">
        <v>221</v>
      </c>
      <c r="C118" s="2" t="s">
        <v>223</v>
      </c>
      <c r="D118" s="179">
        <v>5</v>
      </c>
      <c r="E118" s="172" t="s">
        <v>25</v>
      </c>
      <c r="F118" s="173">
        <v>0</v>
      </c>
      <c r="G118" s="23">
        <f t="shared" si="14"/>
        <v>0</v>
      </c>
      <c r="H118" s="24" t="e">
        <f t="shared" si="15"/>
        <v>#REF!</v>
      </c>
      <c r="J118" s="97"/>
      <c r="K118" s="148">
        <f>Table13546[[#This Row],[Total]]</f>
        <v>0</v>
      </c>
    </row>
    <row r="119" spans="2:11" ht="13.5" x14ac:dyDescent="0.25">
      <c r="B119" s="170" t="s">
        <v>221</v>
      </c>
      <c r="C119" s="2" t="s">
        <v>808</v>
      </c>
      <c r="D119" s="179">
        <v>5</v>
      </c>
      <c r="E119" s="172" t="s">
        <v>25</v>
      </c>
      <c r="F119" s="173">
        <v>0</v>
      </c>
      <c r="G119" s="23">
        <f t="shared" si="14"/>
        <v>0</v>
      </c>
      <c r="H119" s="24" t="e">
        <f t="shared" si="15"/>
        <v>#REF!</v>
      </c>
      <c r="J119" s="97"/>
      <c r="K119" s="148">
        <f>Table13546[[#This Row],[Total]]</f>
        <v>0</v>
      </c>
    </row>
    <row r="120" spans="2:11" ht="13.5" x14ac:dyDescent="0.25">
      <c r="B120" s="170" t="s">
        <v>221</v>
      </c>
      <c r="C120" s="2" t="s">
        <v>224</v>
      </c>
      <c r="D120" s="179">
        <v>15</v>
      </c>
      <c r="E120" s="172" t="s">
        <v>23</v>
      </c>
      <c r="F120" s="173">
        <v>0</v>
      </c>
      <c r="G120" s="23">
        <f t="shared" si="14"/>
        <v>0</v>
      </c>
      <c r="H120" s="24" t="e">
        <f t="shared" si="15"/>
        <v>#REF!</v>
      </c>
      <c r="J120" s="97"/>
      <c r="K120" s="148">
        <f>Table13546[[#This Row],[Total]]</f>
        <v>0</v>
      </c>
    </row>
    <row r="121" spans="2:11" ht="13.5" x14ac:dyDescent="0.25">
      <c r="B121" s="170" t="s">
        <v>221</v>
      </c>
      <c r="C121" s="2" t="s">
        <v>225</v>
      </c>
      <c r="D121" s="179">
        <v>150</v>
      </c>
      <c r="E121" s="172" t="s">
        <v>25</v>
      </c>
      <c r="F121" s="173">
        <v>0</v>
      </c>
      <c r="G121" s="23">
        <f t="shared" si="14"/>
        <v>0</v>
      </c>
      <c r="H121" s="24" t="e">
        <f t="shared" si="15"/>
        <v>#REF!</v>
      </c>
      <c r="J121" s="97"/>
      <c r="K121" s="148">
        <f>Table13546[[#This Row],[Total]]</f>
        <v>0</v>
      </c>
    </row>
    <row r="122" spans="2:11" s="106" customFormat="1" ht="14" x14ac:dyDescent="0.3">
      <c r="B122" s="184"/>
      <c r="C122" s="185"/>
      <c r="D122" s="186"/>
      <c r="E122" s="187"/>
      <c r="F122" s="175" t="s">
        <v>809</v>
      </c>
      <c r="G122" s="176">
        <f>SUM(G115:G121)</f>
        <v>0</v>
      </c>
      <c r="H122" s="177" t="e">
        <f t="shared" si="15"/>
        <v>#REF!</v>
      </c>
      <c r="J122" s="125"/>
      <c r="K122" s="176">
        <f>SUM(K115:K121)</f>
        <v>0</v>
      </c>
    </row>
    <row r="123" spans="2:11" ht="18.5" thickBot="1" x14ac:dyDescent="0.4">
      <c r="B123" s="118"/>
      <c r="C123" s="119"/>
      <c r="D123" s="161"/>
      <c r="E123" s="137"/>
      <c r="F123" s="183" t="s">
        <v>810</v>
      </c>
      <c r="G123" s="188">
        <f>SUM(G122)</f>
        <v>0</v>
      </c>
      <c r="H123" s="189" t="e">
        <f t="shared" si="15"/>
        <v>#REF!</v>
      </c>
      <c r="I123" s="163"/>
      <c r="J123" s="190"/>
      <c r="K123" s="188">
        <f>SUM(K122)</f>
        <v>0</v>
      </c>
    </row>
    <row r="124" spans="2:11" ht="16.5" x14ac:dyDescent="0.35">
      <c r="B124" s="182" t="s">
        <v>811</v>
      </c>
      <c r="C124" s="117"/>
      <c r="D124" s="162"/>
      <c r="E124" s="138"/>
      <c r="F124" s="117"/>
      <c r="G124" s="128"/>
      <c r="H124" s="129"/>
      <c r="J124" s="141"/>
      <c r="K124" s="149"/>
    </row>
    <row r="125" spans="2:11" ht="13.5" x14ac:dyDescent="0.25">
      <c r="B125" s="170" t="s">
        <v>37</v>
      </c>
      <c r="C125" s="2" t="s">
        <v>812</v>
      </c>
      <c r="D125" s="179">
        <v>300000</v>
      </c>
      <c r="E125" s="172" t="s">
        <v>27</v>
      </c>
      <c r="F125" s="173">
        <v>0</v>
      </c>
      <c r="G125" s="23">
        <f t="shared" ref="G125:G129" si="16">D125*F125</f>
        <v>0</v>
      </c>
      <c r="H125" s="24" t="e">
        <f t="shared" ref="H125:H141" si="17">IF($H$6=0, 0, G125/$H$6)</f>
        <v>#REF!</v>
      </c>
      <c r="J125" s="97"/>
      <c r="K125" s="148">
        <f>Table13546[[#This Row],[Total]]</f>
        <v>0</v>
      </c>
    </row>
    <row r="126" spans="2:11" ht="13.5" x14ac:dyDescent="0.25">
      <c r="B126" s="170" t="s">
        <v>226</v>
      </c>
      <c r="C126" s="2" t="s">
        <v>227</v>
      </c>
      <c r="D126" s="179">
        <v>1</v>
      </c>
      <c r="E126" s="172" t="s">
        <v>72</v>
      </c>
      <c r="F126" s="173">
        <v>0</v>
      </c>
      <c r="G126" s="23">
        <f t="shared" si="16"/>
        <v>0</v>
      </c>
      <c r="H126" s="24" t="e">
        <f t="shared" si="17"/>
        <v>#REF!</v>
      </c>
      <c r="J126" s="97"/>
      <c r="K126" s="148">
        <f>Table13546[[#This Row],[Total]]</f>
        <v>0</v>
      </c>
    </row>
    <row r="127" spans="2:11" ht="13.5" x14ac:dyDescent="0.25">
      <c r="B127" s="170" t="s">
        <v>228</v>
      </c>
      <c r="C127" s="2" t="s">
        <v>229</v>
      </c>
      <c r="D127" s="179">
        <v>1</v>
      </c>
      <c r="E127" s="172" t="s">
        <v>72</v>
      </c>
      <c r="F127" s="173">
        <v>0</v>
      </c>
      <c r="G127" s="23">
        <f t="shared" si="16"/>
        <v>0</v>
      </c>
      <c r="H127" s="24" t="e">
        <f t="shared" si="17"/>
        <v>#REF!</v>
      </c>
      <c r="J127" s="97"/>
      <c r="K127" s="148">
        <f>Table13546[[#This Row],[Total]]</f>
        <v>0</v>
      </c>
    </row>
    <row r="128" spans="2:11" ht="13.5" x14ac:dyDescent="0.25">
      <c r="B128" s="170" t="s">
        <v>230</v>
      </c>
      <c r="C128" s="2" t="s">
        <v>231</v>
      </c>
      <c r="D128" s="179">
        <v>1</v>
      </c>
      <c r="E128" s="172" t="s">
        <v>72</v>
      </c>
      <c r="F128" s="173">
        <v>0</v>
      </c>
      <c r="G128" s="23">
        <f t="shared" si="16"/>
        <v>0</v>
      </c>
      <c r="H128" s="24" t="e">
        <f t="shared" si="17"/>
        <v>#REF!</v>
      </c>
      <c r="J128" s="97"/>
      <c r="K128" s="148">
        <f>Table13546[[#This Row],[Total]]</f>
        <v>0</v>
      </c>
    </row>
    <row r="129" spans="2:11" ht="13.5" x14ac:dyDescent="0.25">
      <c r="B129" s="170" t="s">
        <v>232</v>
      </c>
      <c r="C129" s="2" t="s">
        <v>233</v>
      </c>
      <c r="D129" s="179">
        <v>0</v>
      </c>
      <c r="E129" s="172" t="s">
        <v>72</v>
      </c>
      <c r="F129" s="173">
        <v>0</v>
      </c>
      <c r="G129" s="23">
        <f t="shared" si="16"/>
        <v>0</v>
      </c>
      <c r="H129" s="24" t="e">
        <f t="shared" si="17"/>
        <v>#REF!</v>
      </c>
      <c r="J129" s="97"/>
      <c r="K129" s="148">
        <f>Table13546[[#This Row],[Total]]</f>
        <v>0</v>
      </c>
    </row>
    <row r="130" spans="2:11" s="106" customFormat="1" ht="14" x14ac:dyDescent="0.3">
      <c r="B130" s="184"/>
      <c r="C130" s="185"/>
      <c r="D130" s="186"/>
      <c r="E130" s="187"/>
      <c r="F130" s="175" t="s">
        <v>813</v>
      </c>
      <c r="G130" s="176">
        <f>SUM(G125:G129)</f>
        <v>0</v>
      </c>
      <c r="H130" s="177" t="e">
        <f t="shared" si="17"/>
        <v>#REF!</v>
      </c>
      <c r="J130" s="125"/>
      <c r="K130" s="176">
        <f>SUM(K125:K129)</f>
        <v>0</v>
      </c>
    </row>
    <row r="131" spans="2:11" ht="13.5" x14ac:dyDescent="0.25">
      <c r="B131" s="170" t="s">
        <v>234</v>
      </c>
      <c r="C131" s="2" t="s">
        <v>814</v>
      </c>
      <c r="D131" s="179">
        <v>100</v>
      </c>
      <c r="E131" s="172" t="s">
        <v>25</v>
      </c>
      <c r="F131" s="173">
        <v>0</v>
      </c>
      <c r="G131" s="23">
        <f t="shared" ref="G131:G136" si="18">D131*F131</f>
        <v>0</v>
      </c>
      <c r="H131" s="24" t="e">
        <f t="shared" si="17"/>
        <v>#REF!</v>
      </c>
      <c r="J131" s="97"/>
      <c r="K131" s="148">
        <f>Table13546[[#This Row],[Total]]</f>
        <v>0</v>
      </c>
    </row>
    <row r="132" spans="2:11" ht="13.5" x14ac:dyDescent="0.25">
      <c r="B132" s="170" t="s">
        <v>236</v>
      </c>
      <c r="C132" s="2" t="s">
        <v>237</v>
      </c>
      <c r="D132" s="179">
        <v>100</v>
      </c>
      <c r="E132" s="172" t="s">
        <v>25</v>
      </c>
      <c r="F132" s="173">
        <v>0</v>
      </c>
      <c r="G132" s="23">
        <f t="shared" si="18"/>
        <v>0</v>
      </c>
      <c r="H132" s="24" t="e">
        <f t="shared" si="17"/>
        <v>#REF!</v>
      </c>
      <c r="J132" s="97"/>
      <c r="K132" s="148">
        <f>Table13546[[#This Row],[Total]]</f>
        <v>0</v>
      </c>
    </row>
    <row r="133" spans="2:11" ht="13.5" x14ac:dyDescent="0.25">
      <c r="B133" s="170" t="s">
        <v>238</v>
      </c>
      <c r="C133" s="2" t="s">
        <v>815</v>
      </c>
      <c r="D133" s="179">
        <v>1</v>
      </c>
      <c r="E133" s="172" t="s">
        <v>72</v>
      </c>
      <c r="F133" s="173">
        <v>0</v>
      </c>
      <c r="G133" s="23">
        <f t="shared" si="18"/>
        <v>0</v>
      </c>
      <c r="H133" s="24" t="e">
        <f t="shared" si="17"/>
        <v>#REF!</v>
      </c>
      <c r="J133" s="97"/>
      <c r="K133" s="148">
        <f>Table13546[[#This Row],[Total]]</f>
        <v>0</v>
      </c>
    </row>
    <row r="134" spans="2:11" ht="13.5" x14ac:dyDescent="0.25">
      <c r="B134" s="170" t="s">
        <v>239</v>
      </c>
      <c r="C134" s="2" t="s">
        <v>240</v>
      </c>
      <c r="D134" s="179">
        <v>0</v>
      </c>
      <c r="E134" s="172" t="s">
        <v>72</v>
      </c>
      <c r="F134" s="173">
        <v>0</v>
      </c>
      <c r="G134" s="23">
        <f t="shared" si="18"/>
        <v>0</v>
      </c>
      <c r="H134" s="24" t="e">
        <f t="shared" si="17"/>
        <v>#REF!</v>
      </c>
      <c r="J134" s="97"/>
      <c r="K134" s="148">
        <f>Table13546[[#This Row],[Total]]</f>
        <v>0</v>
      </c>
    </row>
    <row r="135" spans="2:11" ht="13.5" x14ac:dyDescent="0.25">
      <c r="B135" s="170" t="s">
        <v>241</v>
      </c>
      <c r="C135" s="2" t="s">
        <v>242</v>
      </c>
      <c r="D135" s="179">
        <v>1</v>
      </c>
      <c r="E135" s="172" t="s">
        <v>72</v>
      </c>
      <c r="F135" s="173">
        <v>0</v>
      </c>
      <c r="G135" s="23">
        <f t="shared" si="18"/>
        <v>0</v>
      </c>
      <c r="H135" s="24" t="e">
        <f t="shared" si="17"/>
        <v>#REF!</v>
      </c>
      <c r="J135" s="97"/>
      <c r="K135" s="148">
        <f>Table13546[[#This Row],[Total]]</f>
        <v>0</v>
      </c>
    </row>
    <row r="136" spans="2:11" ht="13.5" x14ac:dyDescent="0.25">
      <c r="B136" s="170" t="s">
        <v>243</v>
      </c>
      <c r="C136" s="2" t="s">
        <v>816</v>
      </c>
      <c r="D136" s="179">
        <v>0</v>
      </c>
      <c r="E136" s="172" t="s">
        <v>72</v>
      </c>
      <c r="F136" s="173">
        <v>0</v>
      </c>
      <c r="G136" s="23">
        <f t="shared" si="18"/>
        <v>0</v>
      </c>
      <c r="H136" s="24" t="e">
        <f t="shared" si="17"/>
        <v>#REF!</v>
      </c>
      <c r="J136" s="97"/>
      <c r="K136" s="148">
        <f>Table13546[[#This Row],[Total]]</f>
        <v>0</v>
      </c>
    </row>
    <row r="137" spans="2:11" s="106" customFormat="1" ht="14" x14ac:dyDescent="0.3">
      <c r="B137" s="184"/>
      <c r="C137" s="185"/>
      <c r="D137" s="186"/>
      <c r="E137" s="187"/>
      <c r="F137" s="175" t="s">
        <v>817</v>
      </c>
      <c r="G137" s="176">
        <f>SUM(G131:G136)</f>
        <v>0</v>
      </c>
      <c r="H137" s="177" t="e">
        <f t="shared" si="17"/>
        <v>#REF!</v>
      </c>
      <c r="J137" s="125"/>
      <c r="K137" s="176">
        <f>SUM(K131:K136)</f>
        <v>0</v>
      </c>
    </row>
    <row r="138" spans="2:11" ht="13.5" x14ac:dyDescent="0.25">
      <c r="B138" s="170" t="s">
        <v>245</v>
      </c>
      <c r="C138" s="2" t="s">
        <v>246</v>
      </c>
      <c r="D138" s="179">
        <v>1</v>
      </c>
      <c r="E138" s="172" t="s">
        <v>25</v>
      </c>
      <c r="F138" s="173">
        <v>0</v>
      </c>
      <c r="G138" s="23">
        <f t="shared" ref="G138:G139" si="19">D138*F138</f>
        <v>0</v>
      </c>
      <c r="H138" s="24" t="e">
        <f t="shared" si="17"/>
        <v>#REF!</v>
      </c>
      <c r="J138" s="97"/>
      <c r="K138" s="148">
        <f>Table13546[[#This Row],[Total]]</f>
        <v>0</v>
      </c>
    </row>
    <row r="139" spans="2:11" ht="13.5" x14ac:dyDescent="0.25">
      <c r="B139" s="170" t="s">
        <v>247</v>
      </c>
      <c r="C139" s="2" t="s">
        <v>248</v>
      </c>
      <c r="D139" s="179">
        <v>1</v>
      </c>
      <c r="E139" s="172" t="s">
        <v>72</v>
      </c>
      <c r="F139" s="173">
        <v>0</v>
      </c>
      <c r="G139" s="23">
        <f t="shared" si="19"/>
        <v>0</v>
      </c>
      <c r="H139" s="24" t="e">
        <f t="shared" si="17"/>
        <v>#REF!</v>
      </c>
      <c r="J139" s="97"/>
      <c r="K139" s="148">
        <f>Table13546[[#This Row],[Total]]</f>
        <v>0</v>
      </c>
    </row>
    <row r="140" spans="2:11" s="106" customFormat="1" ht="14" x14ac:dyDescent="0.3">
      <c r="B140" s="184"/>
      <c r="C140" s="185"/>
      <c r="D140" s="186"/>
      <c r="E140" s="187"/>
      <c r="F140" s="175" t="s">
        <v>818</v>
      </c>
      <c r="G140" s="176">
        <f>SUM(G138:G139)</f>
        <v>0</v>
      </c>
      <c r="H140" s="177" t="e">
        <f t="shared" si="17"/>
        <v>#REF!</v>
      </c>
      <c r="J140" s="125"/>
      <c r="K140" s="176">
        <f>SUM(K138:K139)</f>
        <v>0</v>
      </c>
    </row>
    <row r="141" spans="2:11" ht="18.5" thickBot="1" x14ac:dyDescent="0.4">
      <c r="B141" s="118"/>
      <c r="C141" s="119"/>
      <c r="D141" s="161"/>
      <c r="E141" s="137"/>
      <c r="F141" s="183" t="s">
        <v>819</v>
      </c>
      <c r="G141" s="188">
        <f>SUM(G130,G137,G140)</f>
        <v>0</v>
      </c>
      <c r="H141" s="189" t="e">
        <f t="shared" si="17"/>
        <v>#REF!</v>
      </c>
      <c r="I141" s="163"/>
      <c r="J141" s="190"/>
      <c r="K141" s="188">
        <f>SUM(K130,K137,K140)</f>
        <v>0</v>
      </c>
    </row>
    <row r="142" spans="2:11" ht="16.5" x14ac:dyDescent="0.35">
      <c r="B142" s="182" t="s">
        <v>820</v>
      </c>
      <c r="C142" s="117"/>
      <c r="D142" s="162"/>
      <c r="E142" s="138"/>
      <c r="F142" s="117"/>
      <c r="G142" s="128"/>
      <c r="H142" s="129"/>
      <c r="J142" s="141"/>
      <c r="K142" s="149"/>
    </row>
    <row r="143" spans="2:11" ht="13.5" x14ac:dyDescent="0.25">
      <c r="B143" s="170" t="s">
        <v>38</v>
      </c>
      <c r="C143" s="2" t="s">
        <v>39</v>
      </c>
      <c r="D143" s="179">
        <v>18000</v>
      </c>
      <c r="E143" s="172" t="s">
        <v>27</v>
      </c>
      <c r="F143" s="173">
        <v>0</v>
      </c>
      <c r="G143" s="23">
        <f t="shared" ref="G143:G150" si="20">D143*F143</f>
        <v>0</v>
      </c>
      <c r="H143" s="24" t="e">
        <f t="shared" ref="H143:H172" si="21">IF($H$6=0, 0, G143/$H$6)</f>
        <v>#REF!</v>
      </c>
      <c r="J143" s="97"/>
      <c r="K143" s="148">
        <f>Table13546[[#This Row],[Total]]</f>
        <v>0</v>
      </c>
    </row>
    <row r="144" spans="2:11" ht="13.5" x14ac:dyDescent="0.25">
      <c r="B144" s="170" t="s">
        <v>38</v>
      </c>
      <c r="C144" s="2" t="s">
        <v>249</v>
      </c>
      <c r="D144" s="179">
        <v>2</v>
      </c>
      <c r="E144" s="172" t="s">
        <v>72</v>
      </c>
      <c r="F144" s="173">
        <v>0</v>
      </c>
      <c r="G144" s="23">
        <f t="shared" si="20"/>
        <v>0</v>
      </c>
      <c r="H144" s="24" t="e">
        <f t="shared" si="21"/>
        <v>#REF!</v>
      </c>
      <c r="J144" s="97"/>
      <c r="K144" s="148">
        <f>Table13546[[#This Row],[Total]]</f>
        <v>0</v>
      </c>
    </row>
    <row r="145" spans="2:11" ht="13.5" x14ac:dyDescent="0.25">
      <c r="B145" s="170" t="s">
        <v>40</v>
      </c>
      <c r="C145" s="2" t="s">
        <v>41</v>
      </c>
      <c r="D145" s="179">
        <v>15000</v>
      </c>
      <c r="E145" s="172" t="s">
        <v>27</v>
      </c>
      <c r="F145" s="173">
        <v>0</v>
      </c>
      <c r="G145" s="23">
        <f t="shared" si="20"/>
        <v>0</v>
      </c>
      <c r="H145" s="24" t="e">
        <f t="shared" si="21"/>
        <v>#REF!</v>
      </c>
      <c r="J145" s="97"/>
      <c r="K145" s="148">
        <f>Table13546[[#This Row],[Total]]</f>
        <v>0</v>
      </c>
    </row>
    <row r="146" spans="2:11" ht="13.5" x14ac:dyDescent="0.25">
      <c r="B146" s="170" t="s">
        <v>40</v>
      </c>
      <c r="C146" s="2" t="s">
        <v>821</v>
      </c>
      <c r="D146" s="179">
        <v>15000</v>
      </c>
      <c r="E146" s="172" t="s">
        <v>27</v>
      </c>
      <c r="F146" s="173">
        <v>0</v>
      </c>
      <c r="G146" s="23">
        <f t="shared" si="20"/>
        <v>0</v>
      </c>
      <c r="H146" s="24" t="e">
        <f t="shared" si="21"/>
        <v>#REF!</v>
      </c>
      <c r="J146" s="97"/>
      <c r="K146" s="148">
        <f>Table13546[[#This Row],[Total]]</f>
        <v>0</v>
      </c>
    </row>
    <row r="147" spans="2:11" ht="13.5" x14ac:dyDescent="0.25">
      <c r="B147" s="170" t="s">
        <v>40</v>
      </c>
      <c r="C147" s="2" t="s">
        <v>250</v>
      </c>
      <c r="D147" s="179">
        <v>160</v>
      </c>
      <c r="E147" s="172" t="s">
        <v>27</v>
      </c>
      <c r="F147" s="173">
        <v>0</v>
      </c>
      <c r="G147" s="23">
        <f t="shared" si="20"/>
        <v>0</v>
      </c>
      <c r="H147" s="24" t="e">
        <f t="shared" si="21"/>
        <v>#REF!</v>
      </c>
      <c r="J147" s="97"/>
      <c r="K147" s="148">
        <f>Table13546[[#This Row],[Total]]</f>
        <v>0</v>
      </c>
    </row>
    <row r="148" spans="2:11" ht="13.5" x14ac:dyDescent="0.25">
      <c r="B148" s="170" t="s">
        <v>40</v>
      </c>
      <c r="C148" s="2" t="s">
        <v>251</v>
      </c>
      <c r="D148" s="179">
        <v>511</v>
      </c>
      <c r="E148" s="172" t="s">
        <v>27</v>
      </c>
      <c r="F148" s="173">
        <v>0</v>
      </c>
      <c r="G148" s="23">
        <f t="shared" si="20"/>
        <v>0</v>
      </c>
      <c r="H148" s="24" t="e">
        <f t="shared" si="21"/>
        <v>#REF!</v>
      </c>
      <c r="J148" s="97"/>
      <c r="K148" s="148">
        <f>Table13546[[#This Row],[Total]]</f>
        <v>0</v>
      </c>
    </row>
    <row r="149" spans="2:11" ht="13.5" x14ac:dyDescent="0.25">
      <c r="B149" s="170" t="s">
        <v>40</v>
      </c>
      <c r="C149" s="2" t="s">
        <v>822</v>
      </c>
      <c r="D149" s="179">
        <v>798</v>
      </c>
      <c r="E149" s="172" t="s">
        <v>27</v>
      </c>
      <c r="F149" s="173">
        <v>0</v>
      </c>
      <c r="G149" s="23">
        <f t="shared" si="20"/>
        <v>0</v>
      </c>
      <c r="H149" s="24" t="e">
        <f t="shared" si="21"/>
        <v>#REF!</v>
      </c>
      <c r="J149" s="97"/>
      <c r="K149" s="148">
        <f>Table13546[[#This Row],[Total]]</f>
        <v>0</v>
      </c>
    </row>
    <row r="150" spans="2:11" ht="13.5" x14ac:dyDescent="0.25">
      <c r="B150" s="170" t="s">
        <v>252</v>
      </c>
      <c r="C150" s="2" t="s">
        <v>253</v>
      </c>
      <c r="D150" s="179">
        <v>1000</v>
      </c>
      <c r="E150" s="172" t="s">
        <v>27</v>
      </c>
      <c r="F150" s="173">
        <v>0</v>
      </c>
      <c r="G150" s="23">
        <f t="shared" si="20"/>
        <v>0</v>
      </c>
      <c r="H150" s="24" t="e">
        <f t="shared" si="21"/>
        <v>#REF!</v>
      </c>
      <c r="J150" s="97"/>
      <c r="K150" s="148">
        <f>Table13546[[#This Row],[Total]]</f>
        <v>0</v>
      </c>
    </row>
    <row r="151" spans="2:11" s="106" customFormat="1" ht="14" x14ac:dyDescent="0.3">
      <c r="B151" s="184"/>
      <c r="C151" s="185"/>
      <c r="D151" s="186"/>
      <c r="E151" s="187"/>
      <c r="F151" s="175" t="s">
        <v>823</v>
      </c>
      <c r="G151" s="176">
        <f>SUM(G143:G150)</f>
        <v>0</v>
      </c>
      <c r="H151" s="177" t="e">
        <f t="shared" si="21"/>
        <v>#REF!</v>
      </c>
      <c r="J151" s="125"/>
      <c r="K151" s="176">
        <f>SUM(K143:K150)</f>
        <v>0</v>
      </c>
    </row>
    <row r="152" spans="2:11" ht="13.5" x14ac:dyDescent="0.25">
      <c r="B152" s="170" t="s">
        <v>254</v>
      </c>
      <c r="C152" s="2" t="s">
        <v>255</v>
      </c>
      <c r="D152" s="179">
        <v>100</v>
      </c>
      <c r="E152" s="172" t="s">
        <v>25</v>
      </c>
      <c r="F152" s="173">
        <v>0</v>
      </c>
      <c r="G152" s="23">
        <f t="shared" ref="G152:G155" si="22">D152*F152</f>
        <v>0</v>
      </c>
      <c r="H152" s="24" t="e">
        <f t="shared" si="21"/>
        <v>#REF!</v>
      </c>
      <c r="J152" s="97"/>
      <c r="K152" s="148">
        <f>Table13546[[#This Row],[Total]]</f>
        <v>0</v>
      </c>
    </row>
    <row r="153" spans="2:11" ht="13.5" x14ac:dyDescent="0.25">
      <c r="B153" s="170" t="s">
        <v>46</v>
      </c>
      <c r="C153" s="2" t="s">
        <v>256</v>
      </c>
      <c r="D153" s="179">
        <v>0</v>
      </c>
      <c r="E153" s="172" t="s">
        <v>27</v>
      </c>
      <c r="F153" s="173">
        <v>0</v>
      </c>
      <c r="G153" s="23">
        <f t="shared" si="22"/>
        <v>0</v>
      </c>
      <c r="H153" s="24" t="e">
        <f t="shared" si="21"/>
        <v>#REF!</v>
      </c>
      <c r="J153" s="97"/>
      <c r="K153" s="148">
        <f>Table13546[[#This Row],[Total]]</f>
        <v>0</v>
      </c>
    </row>
    <row r="154" spans="2:11" ht="13.5" x14ac:dyDescent="0.25">
      <c r="B154" s="170" t="s">
        <v>42</v>
      </c>
      <c r="C154" s="2" t="s">
        <v>43</v>
      </c>
      <c r="D154" s="179">
        <v>75000</v>
      </c>
      <c r="E154" s="172" t="s">
        <v>27</v>
      </c>
      <c r="F154" s="173">
        <v>0</v>
      </c>
      <c r="G154" s="23">
        <f t="shared" si="22"/>
        <v>0</v>
      </c>
      <c r="H154" s="24" t="e">
        <f t="shared" si="21"/>
        <v>#REF!</v>
      </c>
      <c r="J154" s="97"/>
      <c r="K154" s="148">
        <f>Table13546[[#This Row],[Total]]</f>
        <v>0</v>
      </c>
    </row>
    <row r="155" spans="2:11" ht="13.5" x14ac:dyDescent="0.25">
      <c r="B155" s="170" t="s">
        <v>257</v>
      </c>
      <c r="C155" s="2" t="s">
        <v>258</v>
      </c>
      <c r="D155" s="179">
        <v>1</v>
      </c>
      <c r="E155" s="172" t="s">
        <v>72</v>
      </c>
      <c r="F155" s="173">
        <v>0</v>
      </c>
      <c r="G155" s="23">
        <f t="shared" si="22"/>
        <v>0</v>
      </c>
      <c r="H155" s="24" t="e">
        <f t="shared" si="21"/>
        <v>#REF!</v>
      </c>
      <c r="J155" s="97"/>
      <c r="K155" s="148">
        <f>Table13546[[#This Row],[Total]]</f>
        <v>0</v>
      </c>
    </row>
    <row r="156" spans="2:11" s="106" customFormat="1" ht="14" x14ac:dyDescent="0.3">
      <c r="B156" s="184"/>
      <c r="C156" s="185"/>
      <c r="D156" s="186"/>
      <c r="E156" s="187"/>
      <c r="F156" s="175" t="s">
        <v>824</v>
      </c>
      <c r="G156" s="176">
        <f>SUM(G152:G155)</f>
        <v>0</v>
      </c>
      <c r="H156" s="177" t="e">
        <f t="shared" si="21"/>
        <v>#REF!</v>
      </c>
      <c r="J156" s="125"/>
      <c r="K156" s="176">
        <f>SUM(K152:K155)</f>
        <v>0</v>
      </c>
    </row>
    <row r="157" spans="2:11" ht="13.5" x14ac:dyDescent="0.25">
      <c r="B157" s="170" t="s">
        <v>48</v>
      </c>
      <c r="C157" s="2" t="s">
        <v>49</v>
      </c>
      <c r="D157" s="179">
        <v>0</v>
      </c>
      <c r="E157" s="172" t="s">
        <v>72</v>
      </c>
      <c r="F157" s="173">
        <v>0</v>
      </c>
      <c r="G157" s="23">
        <f t="shared" ref="G157:G158" si="23">D157*F157</f>
        <v>0</v>
      </c>
      <c r="H157" s="24" t="e">
        <f t="shared" si="21"/>
        <v>#REF!</v>
      </c>
      <c r="J157" s="97"/>
      <c r="K157" s="148">
        <f>Table13546[[#This Row],[Total]]</f>
        <v>0</v>
      </c>
    </row>
    <row r="158" spans="2:11" ht="13.5" x14ac:dyDescent="0.25">
      <c r="B158" s="170" t="s">
        <v>48</v>
      </c>
      <c r="C158" s="2" t="s">
        <v>259</v>
      </c>
      <c r="D158" s="179">
        <v>0</v>
      </c>
      <c r="E158" s="172" t="s">
        <v>72</v>
      </c>
      <c r="F158" s="173">
        <v>0</v>
      </c>
      <c r="G158" s="23">
        <f t="shared" si="23"/>
        <v>0</v>
      </c>
      <c r="H158" s="24" t="e">
        <f t="shared" si="21"/>
        <v>#REF!</v>
      </c>
      <c r="J158" s="97"/>
      <c r="K158" s="148">
        <f>Table13546[[#This Row],[Total]]</f>
        <v>0</v>
      </c>
    </row>
    <row r="159" spans="2:11" s="106" customFormat="1" ht="14" x14ac:dyDescent="0.3">
      <c r="B159" s="184"/>
      <c r="C159" s="185"/>
      <c r="D159" s="186"/>
      <c r="E159" s="187"/>
      <c r="F159" s="175" t="s">
        <v>825</v>
      </c>
      <c r="G159" s="176">
        <f>SUM(G157:G158)</f>
        <v>0</v>
      </c>
      <c r="H159" s="177" t="e">
        <f t="shared" si="21"/>
        <v>#REF!</v>
      </c>
      <c r="J159" s="125"/>
      <c r="K159" s="176">
        <f>SUM(K157:K158)</f>
        <v>0</v>
      </c>
    </row>
    <row r="160" spans="2:11" ht="13.5" x14ac:dyDescent="0.25">
      <c r="B160" s="170" t="s">
        <v>50</v>
      </c>
      <c r="C160" s="2" t="s">
        <v>51</v>
      </c>
      <c r="D160" s="179">
        <v>0</v>
      </c>
      <c r="E160" s="172" t="s">
        <v>27</v>
      </c>
      <c r="F160" s="173">
        <v>0</v>
      </c>
      <c r="G160" s="23">
        <f t="shared" ref="G160:G161" si="24">D160*F160</f>
        <v>0</v>
      </c>
      <c r="H160" s="24" t="e">
        <f t="shared" si="21"/>
        <v>#REF!</v>
      </c>
      <c r="J160" s="97"/>
      <c r="K160" s="148">
        <f>Table13546[[#This Row],[Total]]</f>
        <v>0</v>
      </c>
    </row>
    <row r="161" spans="2:11" ht="13.5" x14ac:dyDescent="0.25">
      <c r="B161" s="170" t="s">
        <v>52</v>
      </c>
      <c r="C161" s="2" t="s">
        <v>53</v>
      </c>
      <c r="D161" s="179">
        <v>52920</v>
      </c>
      <c r="E161" s="172" t="s">
        <v>27</v>
      </c>
      <c r="F161" s="173">
        <v>0</v>
      </c>
      <c r="G161" s="23">
        <f t="shared" si="24"/>
        <v>0</v>
      </c>
      <c r="H161" s="24" t="e">
        <f t="shared" si="21"/>
        <v>#REF!</v>
      </c>
      <c r="J161" s="97"/>
      <c r="K161" s="148">
        <f>Table13546[[#This Row],[Total]]</f>
        <v>0</v>
      </c>
    </row>
    <row r="162" spans="2:11" s="106" customFormat="1" ht="14" x14ac:dyDescent="0.3">
      <c r="B162" s="184"/>
      <c r="C162" s="185"/>
      <c r="D162" s="186"/>
      <c r="E162" s="187"/>
      <c r="F162" s="175" t="s">
        <v>826</v>
      </c>
      <c r="G162" s="176">
        <f>SUM(G160:G161)</f>
        <v>0</v>
      </c>
      <c r="H162" s="177" t="e">
        <f t="shared" si="21"/>
        <v>#REF!</v>
      </c>
      <c r="J162" s="125"/>
      <c r="K162" s="176">
        <f>SUM(K160:K161)</f>
        <v>0</v>
      </c>
    </row>
    <row r="163" spans="2:11" ht="13.5" x14ac:dyDescent="0.25">
      <c r="B163" s="170" t="s">
        <v>54</v>
      </c>
      <c r="C163" s="2" t="s">
        <v>55</v>
      </c>
      <c r="D163" s="179">
        <v>60000</v>
      </c>
      <c r="E163" s="172" t="s">
        <v>27</v>
      </c>
      <c r="F163" s="173">
        <v>0</v>
      </c>
      <c r="G163" s="23">
        <f t="shared" ref="G163:G165" si="25">D163*F163</f>
        <v>0</v>
      </c>
      <c r="H163" s="24" t="e">
        <f t="shared" si="21"/>
        <v>#REF!</v>
      </c>
      <c r="J163" s="97"/>
      <c r="K163" s="148">
        <f>Table13546[[#This Row],[Total]]</f>
        <v>0</v>
      </c>
    </row>
    <row r="164" spans="2:11" ht="13.5" x14ac:dyDescent="0.25">
      <c r="B164" s="170" t="s">
        <v>261</v>
      </c>
      <c r="C164" s="2" t="s">
        <v>262</v>
      </c>
      <c r="D164" s="179">
        <v>1</v>
      </c>
      <c r="E164" s="172" t="s">
        <v>72</v>
      </c>
      <c r="F164" s="173">
        <v>0</v>
      </c>
      <c r="G164" s="23">
        <f t="shared" si="25"/>
        <v>0</v>
      </c>
      <c r="H164" s="24" t="e">
        <f t="shared" si="21"/>
        <v>#REF!</v>
      </c>
      <c r="J164" s="97"/>
      <c r="K164" s="148">
        <f>Table13546[[#This Row],[Total]]</f>
        <v>0</v>
      </c>
    </row>
    <row r="165" spans="2:11" ht="13.5" x14ac:dyDescent="0.25">
      <c r="B165" s="170" t="s">
        <v>263</v>
      </c>
      <c r="C165" s="2" t="s">
        <v>264</v>
      </c>
      <c r="D165" s="179">
        <v>0</v>
      </c>
      <c r="E165" s="172" t="s">
        <v>27</v>
      </c>
      <c r="F165" s="173">
        <v>0</v>
      </c>
      <c r="G165" s="23">
        <f t="shared" si="25"/>
        <v>0</v>
      </c>
      <c r="H165" s="24" t="e">
        <f t="shared" si="21"/>
        <v>#REF!</v>
      </c>
      <c r="J165" s="97"/>
      <c r="K165" s="148">
        <f>Table13546[[#This Row],[Total]]</f>
        <v>0</v>
      </c>
    </row>
    <row r="166" spans="2:11" s="106" customFormat="1" ht="14" x14ac:dyDescent="0.3">
      <c r="B166" s="184"/>
      <c r="C166" s="185"/>
      <c r="D166" s="186"/>
      <c r="E166" s="187"/>
      <c r="F166" s="175" t="s">
        <v>827</v>
      </c>
      <c r="G166" s="176">
        <f>SUM(G163:G165)</f>
        <v>0</v>
      </c>
      <c r="H166" s="177" t="e">
        <f t="shared" si="21"/>
        <v>#REF!</v>
      </c>
      <c r="J166" s="125"/>
      <c r="K166" s="176">
        <f>SUM(K163:K165)</f>
        <v>0</v>
      </c>
    </row>
    <row r="167" spans="2:11" ht="13.5" x14ac:dyDescent="0.25">
      <c r="B167" s="170" t="s">
        <v>265</v>
      </c>
      <c r="C167" s="2" t="s">
        <v>266</v>
      </c>
      <c r="D167" s="179">
        <v>1</v>
      </c>
      <c r="E167" s="172" t="s">
        <v>72</v>
      </c>
      <c r="F167" s="173">
        <v>0</v>
      </c>
      <c r="G167" s="23">
        <f t="shared" ref="G167:G170" si="26">D167*F167</f>
        <v>0</v>
      </c>
      <c r="H167" s="24" t="e">
        <f t="shared" si="21"/>
        <v>#REF!</v>
      </c>
      <c r="J167" s="97"/>
      <c r="K167" s="148">
        <f>Table13546[[#This Row],[Total]]</f>
        <v>0</v>
      </c>
    </row>
    <row r="168" spans="2:11" ht="13.5" x14ac:dyDescent="0.25">
      <c r="B168" s="170" t="s">
        <v>267</v>
      </c>
      <c r="C168" s="2" t="s">
        <v>268</v>
      </c>
      <c r="D168" s="179">
        <v>0</v>
      </c>
      <c r="E168" s="172" t="s">
        <v>25</v>
      </c>
      <c r="F168" s="173">
        <v>0</v>
      </c>
      <c r="G168" s="23">
        <f t="shared" si="26"/>
        <v>0</v>
      </c>
      <c r="H168" s="24" t="e">
        <f t="shared" si="21"/>
        <v>#REF!</v>
      </c>
      <c r="J168" s="97"/>
      <c r="K168" s="148">
        <f>Table13546[[#This Row],[Total]]</f>
        <v>0</v>
      </c>
    </row>
    <row r="169" spans="2:11" ht="13.5" x14ac:dyDescent="0.25">
      <c r="B169" s="170" t="s">
        <v>269</v>
      </c>
      <c r="C169" s="2" t="s">
        <v>270</v>
      </c>
      <c r="D169" s="179">
        <v>100</v>
      </c>
      <c r="E169" s="172" t="s">
        <v>25</v>
      </c>
      <c r="F169" s="173">
        <v>0</v>
      </c>
      <c r="G169" s="23">
        <f t="shared" si="26"/>
        <v>0</v>
      </c>
      <c r="H169" s="24" t="e">
        <f t="shared" si="21"/>
        <v>#REF!</v>
      </c>
      <c r="J169" s="97"/>
      <c r="K169" s="148">
        <f>Table13546[[#This Row],[Total]]</f>
        <v>0</v>
      </c>
    </row>
    <row r="170" spans="2:11" ht="13.5" x14ac:dyDescent="0.25">
      <c r="B170" s="170" t="s">
        <v>271</v>
      </c>
      <c r="C170" s="2" t="s">
        <v>272</v>
      </c>
      <c r="D170" s="179">
        <v>0</v>
      </c>
      <c r="E170" s="172" t="s">
        <v>25</v>
      </c>
      <c r="F170" s="173">
        <v>0</v>
      </c>
      <c r="G170" s="23">
        <f t="shared" si="26"/>
        <v>0</v>
      </c>
      <c r="H170" s="24" t="e">
        <f t="shared" si="21"/>
        <v>#REF!</v>
      </c>
      <c r="J170" s="97"/>
      <c r="K170" s="148">
        <f>Table13546[[#This Row],[Total]]</f>
        <v>0</v>
      </c>
    </row>
    <row r="171" spans="2:11" s="106" customFormat="1" ht="14" x14ac:dyDescent="0.3">
      <c r="B171" s="184"/>
      <c r="C171" s="185"/>
      <c r="D171" s="186"/>
      <c r="E171" s="187"/>
      <c r="F171" s="175" t="s">
        <v>828</v>
      </c>
      <c r="G171" s="176">
        <f>SUM(G167:G170)</f>
        <v>0</v>
      </c>
      <c r="H171" s="177" t="e">
        <f t="shared" si="21"/>
        <v>#REF!</v>
      </c>
      <c r="J171" s="125"/>
      <c r="K171" s="176">
        <f>SUM(K167:K170)</f>
        <v>0</v>
      </c>
    </row>
    <row r="172" spans="2:11" ht="18.5" thickBot="1" x14ac:dyDescent="0.4">
      <c r="B172" s="118"/>
      <c r="C172" s="119"/>
      <c r="D172" s="161"/>
      <c r="E172" s="137"/>
      <c r="F172" s="183" t="s">
        <v>829</v>
      </c>
      <c r="G172" s="188">
        <f>SUM(G151,G156,G159,G162,G166,G171)</f>
        <v>0</v>
      </c>
      <c r="H172" s="189" t="e">
        <f t="shared" si="21"/>
        <v>#REF!</v>
      </c>
      <c r="I172" s="163"/>
      <c r="J172" s="190"/>
      <c r="K172" s="188">
        <f>SUM(K151,K156,K159,K162,K166,K171)</f>
        <v>0</v>
      </c>
    </row>
    <row r="173" spans="2:11" ht="17.5" x14ac:dyDescent="0.35">
      <c r="B173" s="116" t="s">
        <v>830</v>
      </c>
      <c r="C173" s="117"/>
      <c r="D173" s="162"/>
      <c r="E173" s="138"/>
      <c r="F173" s="117"/>
      <c r="G173" s="128"/>
      <c r="H173" s="129"/>
      <c r="J173" s="141"/>
      <c r="K173" s="149"/>
    </row>
    <row r="174" spans="2:11" ht="13.5" x14ac:dyDescent="0.25">
      <c r="B174" s="170" t="s">
        <v>273</v>
      </c>
      <c r="C174" s="2" t="s">
        <v>831</v>
      </c>
      <c r="D174" s="179">
        <v>100</v>
      </c>
      <c r="E174" s="172" t="s">
        <v>25</v>
      </c>
      <c r="F174" s="173">
        <v>0</v>
      </c>
      <c r="G174" s="23">
        <f t="shared" ref="G174:G177" si="27">D174*F174</f>
        <v>0</v>
      </c>
      <c r="H174" s="24" t="e">
        <f t="shared" ref="H174:H191" si="28">IF($H$6=0, 0, G174/$H$6)</f>
        <v>#REF!</v>
      </c>
      <c r="J174" s="97"/>
      <c r="K174" s="148">
        <f>Table13546[[#This Row],[Total]]</f>
        <v>0</v>
      </c>
    </row>
    <row r="175" spans="2:11" ht="13.5" x14ac:dyDescent="0.25">
      <c r="B175" s="170" t="s">
        <v>274</v>
      </c>
      <c r="C175" s="2" t="s">
        <v>832</v>
      </c>
      <c r="D175" s="179">
        <v>0</v>
      </c>
      <c r="E175" s="172" t="s">
        <v>72</v>
      </c>
      <c r="F175" s="173">
        <v>0</v>
      </c>
      <c r="G175" s="23">
        <f t="shared" si="27"/>
        <v>0</v>
      </c>
      <c r="H175" s="24" t="e">
        <f t="shared" si="28"/>
        <v>#REF!</v>
      </c>
      <c r="J175" s="97"/>
      <c r="K175" s="148">
        <f>Table13546[[#This Row],[Total]]</f>
        <v>0</v>
      </c>
    </row>
    <row r="176" spans="2:11" ht="13.5" x14ac:dyDescent="0.25">
      <c r="B176" s="170" t="s">
        <v>276</v>
      </c>
      <c r="C176" s="2" t="s">
        <v>833</v>
      </c>
      <c r="D176" s="179">
        <v>100</v>
      </c>
      <c r="E176" s="172" t="s">
        <v>25</v>
      </c>
      <c r="F176" s="173">
        <v>0</v>
      </c>
      <c r="G176" s="23">
        <f t="shared" si="27"/>
        <v>0</v>
      </c>
      <c r="H176" s="24" t="e">
        <f t="shared" si="28"/>
        <v>#REF!</v>
      </c>
      <c r="J176" s="97"/>
      <c r="K176" s="148">
        <f>Table13546[[#This Row],[Total]]</f>
        <v>0</v>
      </c>
    </row>
    <row r="177" spans="2:11" ht="13.5" x14ac:dyDescent="0.25">
      <c r="B177" s="170" t="s">
        <v>278</v>
      </c>
      <c r="C177" s="2" t="s">
        <v>834</v>
      </c>
      <c r="D177" s="179">
        <v>1</v>
      </c>
      <c r="E177" s="172" t="s">
        <v>72</v>
      </c>
      <c r="F177" s="173">
        <v>0</v>
      </c>
      <c r="G177" s="23">
        <f t="shared" si="27"/>
        <v>0</v>
      </c>
      <c r="H177" s="24" t="e">
        <f t="shared" si="28"/>
        <v>#REF!</v>
      </c>
      <c r="J177" s="97"/>
      <c r="K177" s="148">
        <f>Table13546[[#This Row],[Total]]</f>
        <v>0</v>
      </c>
    </row>
    <row r="178" spans="2:11" s="106" customFormat="1" ht="14" x14ac:dyDescent="0.3">
      <c r="B178" s="184"/>
      <c r="C178" s="185"/>
      <c r="D178" s="186"/>
      <c r="E178" s="187"/>
      <c r="F178" s="175" t="s">
        <v>835</v>
      </c>
      <c r="G178" s="176">
        <f>SUM(G174:G177)</f>
        <v>0</v>
      </c>
      <c r="H178" s="177" t="e">
        <f t="shared" si="28"/>
        <v>#REF!</v>
      </c>
      <c r="J178" s="125"/>
      <c r="K178" s="176">
        <f>SUM(K174:K177)</f>
        <v>0</v>
      </c>
    </row>
    <row r="179" spans="2:11" ht="13.5" x14ac:dyDescent="0.25">
      <c r="B179" s="170" t="s">
        <v>58</v>
      </c>
      <c r="C179" s="2" t="s">
        <v>836</v>
      </c>
      <c r="D179" s="179">
        <v>500</v>
      </c>
      <c r="E179" s="172" t="s">
        <v>27</v>
      </c>
      <c r="F179" s="173">
        <v>0</v>
      </c>
      <c r="G179" s="23">
        <f t="shared" ref="G179:G180" si="29">D179*F179</f>
        <v>0</v>
      </c>
      <c r="H179" s="24" t="e">
        <f t="shared" si="28"/>
        <v>#REF!</v>
      </c>
      <c r="J179" s="97"/>
      <c r="K179" s="148">
        <f>Table13546[[#This Row],[Total]]</f>
        <v>0</v>
      </c>
    </row>
    <row r="180" spans="2:11" ht="13.5" x14ac:dyDescent="0.25">
      <c r="B180" s="170" t="s">
        <v>58</v>
      </c>
      <c r="C180" s="2" t="s">
        <v>281</v>
      </c>
      <c r="D180" s="179">
        <v>1</v>
      </c>
      <c r="E180" s="172" t="s">
        <v>25</v>
      </c>
      <c r="F180" s="173">
        <v>0</v>
      </c>
      <c r="G180" s="23">
        <f t="shared" si="29"/>
        <v>0</v>
      </c>
      <c r="H180" s="24" t="e">
        <f t="shared" si="28"/>
        <v>#REF!</v>
      </c>
      <c r="J180" s="97"/>
      <c r="K180" s="148">
        <f>Table13546[[#This Row],[Total]]</f>
        <v>0</v>
      </c>
    </row>
    <row r="181" spans="2:11" s="106" customFormat="1" ht="14" x14ac:dyDescent="0.3">
      <c r="B181" s="184"/>
      <c r="C181" s="185"/>
      <c r="D181" s="186"/>
      <c r="E181" s="187"/>
      <c r="F181" s="175" t="s">
        <v>837</v>
      </c>
      <c r="G181" s="176">
        <f>SUM(G179:G180)</f>
        <v>0</v>
      </c>
      <c r="H181" s="177" t="e">
        <f t="shared" si="28"/>
        <v>#REF!</v>
      </c>
      <c r="J181" s="125"/>
      <c r="K181" s="176">
        <f>SUM(K179:K180)</f>
        <v>0</v>
      </c>
    </row>
    <row r="182" spans="2:11" ht="13.5" x14ac:dyDescent="0.25">
      <c r="B182" s="170" t="s">
        <v>282</v>
      </c>
      <c r="C182" s="2" t="s">
        <v>283</v>
      </c>
      <c r="D182" s="179">
        <v>0</v>
      </c>
      <c r="E182" s="172" t="s">
        <v>72</v>
      </c>
      <c r="F182" s="173">
        <v>0</v>
      </c>
      <c r="G182" s="23">
        <f t="shared" ref="G182" si="30">D182*F182</f>
        <v>0</v>
      </c>
      <c r="H182" s="24" t="e">
        <f t="shared" si="28"/>
        <v>#REF!</v>
      </c>
      <c r="J182" s="97"/>
      <c r="K182" s="148">
        <f>Table13546[[#This Row],[Total]]</f>
        <v>0</v>
      </c>
    </row>
    <row r="183" spans="2:11" s="106" customFormat="1" ht="14" x14ac:dyDescent="0.3">
      <c r="B183" s="184"/>
      <c r="C183" s="185"/>
      <c r="D183" s="186"/>
      <c r="E183" s="187"/>
      <c r="F183" s="175" t="s">
        <v>838</v>
      </c>
      <c r="G183" s="176">
        <f>SUM(G182)</f>
        <v>0</v>
      </c>
      <c r="H183" s="177" t="e">
        <f t="shared" si="28"/>
        <v>#REF!</v>
      </c>
      <c r="J183" s="125"/>
      <c r="K183" s="176">
        <f>SUM(K182)</f>
        <v>0</v>
      </c>
    </row>
    <row r="184" spans="2:11" ht="13.5" x14ac:dyDescent="0.25">
      <c r="B184" s="170" t="s">
        <v>284</v>
      </c>
      <c r="C184" s="2" t="s">
        <v>839</v>
      </c>
      <c r="D184" s="179">
        <v>0</v>
      </c>
      <c r="E184" s="172" t="s">
        <v>25</v>
      </c>
      <c r="F184" s="173">
        <v>0</v>
      </c>
      <c r="G184" s="23">
        <f t="shared" ref="G184:G186" si="31">D184*F184</f>
        <v>0</v>
      </c>
      <c r="H184" s="24" t="e">
        <f t="shared" si="28"/>
        <v>#REF!</v>
      </c>
      <c r="J184" s="97"/>
      <c r="K184" s="148">
        <f>Table13546[[#This Row],[Total]]</f>
        <v>0</v>
      </c>
    </row>
    <row r="185" spans="2:11" ht="13.5" x14ac:dyDescent="0.25">
      <c r="B185" s="170" t="s">
        <v>56</v>
      </c>
      <c r="C185" s="2" t="s">
        <v>840</v>
      </c>
      <c r="D185" s="179">
        <v>100</v>
      </c>
      <c r="E185" s="172" t="s">
        <v>25</v>
      </c>
      <c r="F185" s="173">
        <v>0</v>
      </c>
      <c r="G185" s="23">
        <f t="shared" si="31"/>
        <v>0</v>
      </c>
      <c r="H185" s="24" t="e">
        <f t="shared" si="28"/>
        <v>#REF!</v>
      </c>
      <c r="J185" s="97"/>
      <c r="K185" s="148">
        <f>Table13546[[#This Row],[Total]]</f>
        <v>0</v>
      </c>
    </row>
    <row r="186" spans="2:11" ht="13.5" x14ac:dyDescent="0.25">
      <c r="B186" s="170" t="s">
        <v>56</v>
      </c>
      <c r="C186" s="2" t="s">
        <v>841</v>
      </c>
      <c r="D186" s="179">
        <v>1</v>
      </c>
      <c r="E186" s="172" t="s">
        <v>72</v>
      </c>
      <c r="F186" s="173">
        <v>0</v>
      </c>
      <c r="G186" s="23">
        <f t="shared" si="31"/>
        <v>0</v>
      </c>
      <c r="H186" s="24" t="e">
        <f t="shared" si="28"/>
        <v>#REF!</v>
      </c>
      <c r="J186" s="97"/>
      <c r="K186" s="148">
        <f>Table13546[[#This Row],[Total]]</f>
        <v>0</v>
      </c>
    </row>
    <row r="187" spans="2:11" s="106" customFormat="1" ht="14" x14ac:dyDescent="0.3">
      <c r="B187" s="184"/>
      <c r="C187" s="185"/>
      <c r="D187" s="186"/>
      <c r="E187" s="187"/>
      <c r="F187" s="175" t="s">
        <v>842</v>
      </c>
      <c r="G187" s="176">
        <f>SUM(G184:G186)</f>
        <v>0</v>
      </c>
      <c r="H187" s="177" t="e">
        <f t="shared" si="28"/>
        <v>#REF!</v>
      </c>
      <c r="J187" s="125"/>
      <c r="K187" s="176">
        <f>SUM(K184:K186)</f>
        <v>0</v>
      </c>
    </row>
    <row r="188" spans="2:11" ht="13.5" x14ac:dyDescent="0.25">
      <c r="B188" s="170" t="s">
        <v>287</v>
      </c>
      <c r="C188" s="2" t="s">
        <v>288</v>
      </c>
      <c r="D188" s="179">
        <v>100</v>
      </c>
      <c r="E188" s="172" t="s">
        <v>25</v>
      </c>
      <c r="F188" s="173">
        <v>0</v>
      </c>
      <c r="G188" s="23">
        <f t="shared" ref="G188:G189" si="32">D188*F188</f>
        <v>0</v>
      </c>
      <c r="H188" s="24" t="e">
        <f t="shared" si="28"/>
        <v>#REF!</v>
      </c>
      <c r="J188" s="97"/>
      <c r="K188" s="148">
        <f>Table13546[[#This Row],[Total]]</f>
        <v>0</v>
      </c>
    </row>
    <row r="189" spans="2:11" ht="13.5" x14ac:dyDescent="0.25">
      <c r="B189" s="170" t="s">
        <v>289</v>
      </c>
      <c r="C189" s="2" t="s">
        <v>290</v>
      </c>
      <c r="D189" s="179">
        <v>100</v>
      </c>
      <c r="E189" s="172" t="s">
        <v>72</v>
      </c>
      <c r="F189" s="173">
        <v>0</v>
      </c>
      <c r="G189" s="23">
        <f t="shared" si="32"/>
        <v>0</v>
      </c>
      <c r="H189" s="24" t="e">
        <f t="shared" si="28"/>
        <v>#REF!</v>
      </c>
      <c r="J189" s="97"/>
      <c r="K189" s="148">
        <f>Table13546[[#This Row],[Total]]</f>
        <v>0</v>
      </c>
    </row>
    <row r="190" spans="2:11" s="106" customFormat="1" ht="14" x14ac:dyDescent="0.3">
      <c r="B190" s="184"/>
      <c r="C190" s="185"/>
      <c r="D190" s="186"/>
      <c r="E190" s="187"/>
      <c r="F190" s="175" t="s">
        <v>843</v>
      </c>
      <c r="G190" s="176">
        <f>SUM(G188:G189)</f>
        <v>0</v>
      </c>
      <c r="H190" s="177" t="e">
        <f t="shared" si="28"/>
        <v>#REF!</v>
      </c>
      <c r="J190" s="125"/>
      <c r="K190" s="176">
        <f>SUM(K188:K189)</f>
        <v>0</v>
      </c>
    </row>
    <row r="191" spans="2:11" ht="18.5" thickBot="1" x14ac:dyDescent="0.4">
      <c r="B191" s="118"/>
      <c r="C191" s="119"/>
      <c r="D191" s="161"/>
      <c r="E191" s="137"/>
      <c r="F191" s="183" t="s">
        <v>844</v>
      </c>
      <c r="G191" s="188">
        <f>SUM(G178,G181,G183,G187,G190)</f>
        <v>0</v>
      </c>
      <c r="H191" s="189" t="e">
        <f t="shared" si="28"/>
        <v>#REF!</v>
      </c>
      <c r="I191" s="163"/>
      <c r="J191" s="190"/>
      <c r="K191" s="188">
        <f>SUM(K178,K181,K183,K187,K190)</f>
        <v>0</v>
      </c>
    </row>
    <row r="192" spans="2:11" ht="16.5" x14ac:dyDescent="0.35">
      <c r="B192" s="182" t="s">
        <v>845</v>
      </c>
      <c r="C192" s="117"/>
      <c r="D192" s="162"/>
      <c r="E192" s="138"/>
      <c r="F192" s="117"/>
      <c r="G192" s="128"/>
      <c r="H192" s="129"/>
      <c r="J192" s="141"/>
      <c r="K192" s="149"/>
    </row>
    <row r="193" spans="2:11" ht="13.5" x14ac:dyDescent="0.25">
      <c r="B193" s="170" t="s">
        <v>293</v>
      </c>
      <c r="C193" s="2" t="s">
        <v>846</v>
      </c>
      <c r="D193" s="179">
        <v>100</v>
      </c>
      <c r="E193" s="172" t="s">
        <v>25</v>
      </c>
      <c r="F193" s="173">
        <v>0</v>
      </c>
      <c r="G193" s="23">
        <f t="shared" ref="G193:G194" si="33">D193*F193</f>
        <v>0</v>
      </c>
      <c r="H193" s="24" t="e">
        <f t="shared" ref="H193:H216" si="34">IF($H$6=0, 0, G193/$H$6)</f>
        <v>#REF!</v>
      </c>
      <c r="J193" s="97"/>
      <c r="K193" s="148">
        <f>Table13546[[#This Row],[Total]]</f>
        <v>0</v>
      </c>
    </row>
    <row r="194" spans="2:11" ht="13.5" x14ac:dyDescent="0.25">
      <c r="B194" s="170" t="s">
        <v>295</v>
      </c>
      <c r="C194" s="2" t="s">
        <v>296</v>
      </c>
      <c r="D194" s="179">
        <v>0</v>
      </c>
      <c r="E194" s="172" t="s">
        <v>72</v>
      </c>
      <c r="F194" s="173">
        <v>0</v>
      </c>
      <c r="G194" s="23">
        <f t="shared" si="33"/>
        <v>0</v>
      </c>
      <c r="H194" s="24" t="e">
        <f t="shared" si="34"/>
        <v>#REF!</v>
      </c>
      <c r="J194" s="97"/>
      <c r="K194" s="148">
        <f>Table13546[[#This Row],[Total]]</f>
        <v>0</v>
      </c>
    </row>
    <row r="195" spans="2:11" s="106" customFormat="1" ht="14" x14ac:dyDescent="0.3">
      <c r="B195" s="184"/>
      <c r="C195" s="185"/>
      <c r="D195" s="186"/>
      <c r="E195" s="187"/>
      <c r="F195" s="175" t="s">
        <v>847</v>
      </c>
      <c r="G195" s="176">
        <f>SUM(G193:G194)</f>
        <v>0</v>
      </c>
      <c r="H195" s="177" t="e">
        <f t="shared" si="34"/>
        <v>#REF!</v>
      </c>
      <c r="J195" s="125"/>
      <c r="K195" s="176">
        <f>SUM(K193:K194)</f>
        <v>0</v>
      </c>
    </row>
    <row r="196" spans="2:11" ht="13.5" x14ac:dyDescent="0.25">
      <c r="B196" s="170" t="s">
        <v>297</v>
      </c>
      <c r="C196" s="2" t="s">
        <v>298</v>
      </c>
      <c r="D196" s="179">
        <v>100</v>
      </c>
      <c r="E196" s="172" t="s">
        <v>25</v>
      </c>
      <c r="F196" s="173">
        <v>0</v>
      </c>
      <c r="G196" s="23">
        <f t="shared" ref="G196" si="35">D196*F196</f>
        <v>0</v>
      </c>
      <c r="H196" s="24" t="e">
        <f t="shared" si="34"/>
        <v>#REF!</v>
      </c>
      <c r="J196" s="97"/>
      <c r="K196" s="148">
        <f>Table13546[[#This Row],[Total]]</f>
        <v>0</v>
      </c>
    </row>
    <row r="197" spans="2:11" s="106" customFormat="1" ht="14" x14ac:dyDescent="0.3">
      <c r="B197" s="184"/>
      <c r="C197" s="185"/>
      <c r="D197" s="186"/>
      <c r="E197" s="187"/>
      <c r="F197" s="175" t="s">
        <v>848</v>
      </c>
      <c r="G197" s="176">
        <f>SUM(G196)</f>
        <v>0</v>
      </c>
      <c r="H197" s="177" t="e">
        <f t="shared" si="34"/>
        <v>#REF!</v>
      </c>
      <c r="J197" s="125"/>
      <c r="K197" s="176">
        <f>SUM(K196)</f>
        <v>0</v>
      </c>
    </row>
    <row r="198" spans="2:11" ht="13.5" x14ac:dyDescent="0.25">
      <c r="B198" s="170" t="s">
        <v>299</v>
      </c>
      <c r="C198" s="2" t="s">
        <v>300</v>
      </c>
      <c r="D198" s="179">
        <v>2000</v>
      </c>
      <c r="E198" s="172" t="s">
        <v>27</v>
      </c>
      <c r="F198" s="173">
        <v>0</v>
      </c>
      <c r="G198" s="23">
        <f t="shared" ref="G198" si="36">D198*F198</f>
        <v>0</v>
      </c>
      <c r="H198" s="24" t="e">
        <f t="shared" si="34"/>
        <v>#REF!</v>
      </c>
      <c r="J198" s="97"/>
      <c r="K198" s="148">
        <f>Table13546[[#This Row],[Total]]</f>
        <v>0</v>
      </c>
    </row>
    <row r="199" spans="2:11" s="106" customFormat="1" ht="14" x14ac:dyDescent="0.3">
      <c r="B199" s="184"/>
      <c r="C199" s="185"/>
      <c r="D199" s="186"/>
      <c r="E199" s="187"/>
      <c r="F199" s="175" t="s">
        <v>849</v>
      </c>
      <c r="G199" s="176">
        <f>SUM(G198:G198)</f>
        <v>0</v>
      </c>
      <c r="H199" s="177" t="e">
        <f t="shared" si="34"/>
        <v>#REF!</v>
      </c>
      <c r="J199" s="125"/>
      <c r="K199" s="176">
        <f>SUM(K198:K198)</f>
        <v>0</v>
      </c>
    </row>
    <row r="200" spans="2:11" ht="13.5" x14ac:dyDescent="0.25">
      <c r="B200" s="170" t="s">
        <v>301</v>
      </c>
      <c r="C200" s="2" t="s">
        <v>302</v>
      </c>
      <c r="D200" s="179">
        <v>0</v>
      </c>
      <c r="E200" s="172" t="s">
        <v>72</v>
      </c>
      <c r="F200" s="173">
        <v>0</v>
      </c>
      <c r="G200" s="23">
        <f t="shared" ref="G200" si="37">D200*F200</f>
        <v>0</v>
      </c>
      <c r="H200" s="24" t="e">
        <f t="shared" si="34"/>
        <v>#REF!</v>
      </c>
      <c r="J200" s="97"/>
      <c r="K200" s="148">
        <f>Table13546[[#This Row],[Total]]</f>
        <v>0</v>
      </c>
    </row>
    <row r="201" spans="2:11" s="106" customFormat="1" ht="14" x14ac:dyDescent="0.3">
      <c r="B201" s="184"/>
      <c r="C201" s="185"/>
      <c r="D201" s="186"/>
      <c r="E201" s="187"/>
      <c r="F201" s="175" t="s">
        <v>850</v>
      </c>
      <c r="G201" s="176">
        <f>SUM(G200:G200)</f>
        <v>0</v>
      </c>
      <c r="H201" s="177" t="e">
        <f t="shared" si="34"/>
        <v>#REF!</v>
      </c>
      <c r="J201" s="125"/>
      <c r="K201" s="176">
        <f>SUM(K200:K200)</f>
        <v>0</v>
      </c>
    </row>
    <row r="202" spans="2:11" ht="13.5" x14ac:dyDescent="0.25">
      <c r="B202" s="170" t="s">
        <v>303</v>
      </c>
      <c r="C202" s="2" t="s">
        <v>304</v>
      </c>
      <c r="D202" s="179">
        <v>100</v>
      </c>
      <c r="E202" s="172" t="s">
        <v>25</v>
      </c>
      <c r="F202" s="173">
        <v>0</v>
      </c>
      <c r="G202" s="23">
        <f t="shared" ref="G202" si="38">D202*F202</f>
        <v>0</v>
      </c>
      <c r="H202" s="24" t="e">
        <f t="shared" si="34"/>
        <v>#REF!</v>
      </c>
      <c r="J202" s="97"/>
      <c r="K202" s="148">
        <f>Table13546[[#This Row],[Total]]</f>
        <v>0</v>
      </c>
    </row>
    <row r="203" spans="2:11" s="106" customFormat="1" ht="14" x14ac:dyDescent="0.3">
      <c r="B203" s="184"/>
      <c r="C203" s="185"/>
      <c r="D203" s="186"/>
      <c r="E203" s="187"/>
      <c r="F203" s="175" t="s">
        <v>851</v>
      </c>
      <c r="G203" s="176">
        <f>SUM(G202)</f>
        <v>0</v>
      </c>
      <c r="H203" s="177" t="e">
        <f t="shared" si="34"/>
        <v>#REF!</v>
      </c>
      <c r="J203" s="125"/>
      <c r="K203" s="176">
        <f>SUM(K202)</f>
        <v>0</v>
      </c>
    </row>
    <row r="204" spans="2:11" ht="13.5" x14ac:dyDescent="0.25">
      <c r="B204" s="170" t="s">
        <v>305</v>
      </c>
      <c r="C204" s="2" t="s">
        <v>306</v>
      </c>
      <c r="D204" s="179">
        <v>0</v>
      </c>
      <c r="E204" s="172" t="s">
        <v>27</v>
      </c>
      <c r="F204" s="173">
        <v>0</v>
      </c>
      <c r="G204" s="23">
        <f t="shared" ref="G204" si="39">D204*F204</f>
        <v>0</v>
      </c>
      <c r="H204" s="24" t="e">
        <f t="shared" si="34"/>
        <v>#REF!</v>
      </c>
      <c r="J204" s="97"/>
      <c r="K204" s="148">
        <f>Table13546[[#This Row],[Total]]</f>
        <v>0</v>
      </c>
    </row>
    <row r="205" spans="2:11" s="106" customFormat="1" ht="14" x14ac:dyDescent="0.3">
      <c r="B205" s="184"/>
      <c r="C205" s="185"/>
      <c r="D205" s="186"/>
      <c r="E205" s="187"/>
      <c r="F205" s="175" t="s">
        <v>852</v>
      </c>
      <c r="G205" s="176">
        <f>SUM(G204)</f>
        <v>0</v>
      </c>
      <c r="H205" s="177" t="e">
        <f t="shared" si="34"/>
        <v>#REF!</v>
      </c>
      <c r="J205" s="125"/>
      <c r="K205" s="176">
        <f>SUM(K204)</f>
        <v>0</v>
      </c>
    </row>
    <row r="206" spans="2:11" ht="13.5" x14ac:dyDescent="0.25">
      <c r="B206" s="170" t="s">
        <v>307</v>
      </c>
      <c r="C206" s="2" t="s">
        <v>308</v>
      </c>
      <c r="D206" s="179">
        <v>1</v>
      </c>
      <c r="E206" s="172" t="s">
        <v>72</v>
      </c>
      <c r="F206" s="173">
        <v>0</v>
      </c>
      <c r="G206" s="23">
        <f t="shared" ref="G206:G207" si="40">D206*F206</f>
        <v>0</v>
      </c>
      <c r="H206" s="24" t="e">
        <f t="shared" si="34"/>
        <v>#REF!</v>
      </c>
      <c r="J206" s="97"/>
      <c r="K206" s="148">
        <f>Table13546[[#This Row],[Total]]</f>
        <v>0</v>
      </c>
    </row>
    <row r="207" spans="2:11" ht="13.5" x14ac:dyDescent="0.25">
      <c r="B207" s="170" t="s">
        <v>307</v>
      </c>
      <c r="C207" s="2" t="s">
        <v>853</v>
      </c>
      <c r="D207" s="179">
        <v>1</v>
      </c>
      <c r="E207" s="172" t="s">
        <v>72</v>
      </c>
      <c r="F207" s="173">
        <v>0</v>
      </c>
      <c r="G207" s="23">
        <f t="shared" si="40"/>
        <v>0</v>
      </c>
      <c r="H207" s="24" t="e">
        <f t="shared" si="34"/>
        <v>#REF!</v>
      </c>
      <c r="J207" s="97"/>
      <c r="K207" s="148">
        <f>Table13546[[#This Row],[Total]]</f>
        <v>0</v>
      </c>
    </row>
    <row r="208" spans="2:11" s="106" customFormat="1" ht="14" x14ac:dyDescent="0.3">
      <c r="B208" s="184"/>
      <c r="C208" s="185"/>
      <c r="D208" s="186"/>
      <c r="E208" s="187"/>
      <c r="F208" s="175" t="s">
        <v>854</v>
      </c>
      <c r="G208" s="176">
        <f>SUM(G206:G207)</f>
        <v>0</v>
      </c>
      <c r="H208" s="177" t="e">
        <f t="shared" si="34"/>
        <v>#REF!</v>
      </c>
      <c r="J208" s="125"/>
      <c r="K208" s="176">
        <f>SUM(K206:K207)</f>
        <v>0</v>
      </c>
    </row>
    <row r="209" spans="2:11" ht="13.5" x14ac:dyDescent="0.25">
      <c r="B209" s="170" t="s">
        <v>310</v>
      </c>
      <c r="C209" s="2" t="s">
        <v>311</v>
      </c>
      <c r="D209" s="179">
        <v>1</v>
      </c>
      <c r="E209" s="172" t="s">
        <v>72</v>
      </c>
      <c r="F209" s="173">
        <v>0</v>
      </c>
      <c r="G209" s="23">
        <f t="shared" ref="G209" si="41">D209*F209</f>
        <v>0</v>
      </c>
      <c r="H209" s="24" t="e">
        <f t="shared" si="34"/>
        <v>#REF!</v>
      </c>
      <c r="J209" s="97"/>
      <c r="K209" s="148">
        <f>Table13546[[#This Row],[Total]]</f>
        <v>0</v>
      </c>
    </row>
    <row r="210" spans="2:11" s="106" customFormat="1" ht="14" x14ac:dyDescent="0.3">
      <c r="B210" s="184"/>
      <c r="C210" s="185"/>
      <c r="D210" s="186"/>
      <c r="E210" s="187"/>
      <c r="F210" s="175" t="s">
        <v>855</v>
      </c>
      <c r="G210" s="176">
        <f>SUM(G209)</f>
        <v>0</v>
      </c>
      <c r="H210" s="177" t="e">
        <f t="shared" si="34"/>
        <v>#REF!</v>
      </c>
      <c r="J210" s="125"/>
      <c r="K210" s="176">
        <f>SUM(K209)</f>
        <v>0</v>
      </c>
    </row>
    <row r="211" spans="2:11" ht="13.5" x14ac:dyDescent="0.25">
      <c r="B211" s="170" t="s">
        <v>312</v>
      </c>
      <c r="C211" s="2" t="s">
        <v>313</v>
      </c>
      <c r="D211" s="179">
        <v>100</v>
      </c>
      <c r="E211" s="172" t="s">
        <v>25</v>
      </c>
      <c r="F211" s="173">
        <v>0</v>
      </c>
      <c r="G211" s="23">
        <f t="shared" ref="G211:G212" si="42">D211*F211</f>
        <v>0</v>
      </c>
      <c r="H211" s="24" t="e">
        <f t="shared" si="34"/>
        <v>#REF!</v>
      </c>
      <c r="J211" s="97"/>
      <c r="K211" s="148">
        <f>Table13546[[#This Row],[Total]]</f>
        <v>0</v>
      </c>
    </row>
    <row r="212" spans="2:11" ht="13.5" x14ac:dyDescent="0.25">
      <c r="B212" s="170" t="s">
        <v>314</v>
      </c>
      <c r="C212" s="2" t="s">
        <v>315</v>
      </c>
      <c r="D212" s="179">
        <v>0</v>
      </c>
      <c r="E212" s="172" t="s">
        <v>27</v>
      </c>
      <c r="F212" s="173">
        <v>0</v>
      </c>
      <c r="G212" s="23">
        <f t="shared" si="42"/>
        <v>0</v>
      </c>
      <c r="H212" s="24" t="e">
        <f t="shared" si="34"/>
        <v>#REF!</v>
      </c>
      <c r="J212" s="97"/>
      <c r="K212" s="148">
        <f>Table13546[[#This Row],[Total]]</f>
        <v>0</v>
      </c>
    </row>
    <row r="213" spans="2:11" s="106" customFormat="1" ht="14" x14ac:dyDescent="0.3">
      <c r="B213" s="184"/>
      <c r="C213" s="185"/>
      <c r="D213" s="186"/>
      <c r="E213" s="187"/>
      <c r="F213" s="175" t="s">
        <v>856</v>
      </c>
      <c r="G213" s="176">
        <f>SUM(G211:G212)</f>
        <v>0</v>
      </c>
      <c r="H213" s="177" t="e">
        <f t="shared" si="34"/>
        <v>#REF!</v>
      </c>
      <c r="J213" s="125"/>
      <c r="K213" s="176">
        <f>SUM(K211:K212)</f>
        <v>0</v>
      </c>
    </row>
    <row r="214" spans="2:11" ht="13.5" x14ac:dyDescent="0.25">
      <c r="B214" s="170" t="s">
        <v>316</v>
      </c>
      <c r="C214" s="2" t="s">
        <v>317</v>
      </c>
      <c r="D214" s="179">
        <v>0</v>
      </c>
      <c r="E214" s="172" t="s">
        <v>72</v>
      </c>
      <c r="F214" s="173">
        <v>0</v>
      </c>
      <c r="G214" s="23">
        <f t="shared" ref="G214" si="43">D214*F214</f>
        <v>0</v>
      </c>
      <c r="H214" s="24" t="e">
        <f t="shared" si="34"/>
        <v>#REF!</v>
      </c>
      <c r="J214" s="97"/>
      <c r="K214" s="148">
        <f>Table13546[[#This Row],[Total]]</f>
        <v>0</v>
      </c>
    </row>
    <row r="215" spans="2:11" s="106" customFormat="1" ht="14" x14ac:dyDescent="0.3">
      <c r="B215" s="184"/>
      <c r="C215" s="185"/>
      <c r="D215" s="186"/>
      <c r="E215" s="187"/>
      <c r="F215" s="175" t="s">
        <v>857</v>
      </c>
      <c r="G215" s="176">
        <f>SUM(G214:G214)</f>
        <v>0</v>
      </c>
      <c r="H215" s="177" t="e">
        <f t="shared" si="34"/>
        <v>#REF!</v>
      </c>
      <c r="J215" s="125"/>
      <c r="K215" s="176">
        <f>SUM(K214:K214)</f>
        <v>0</v>
      </c>
    </row>
    <row r="216" spans="2:11" ht="18.5" thickBot="1" x14ac:dyDescent="0.4">
      <c r="B216" s="118"/>
      <c r="C216" s="119"/>
      <c r="D216" s="161"/>
      <c r="E216" s="137"/>
      <c r="F216" s="183" t="s">
        <v>858</v>
      </c>
      <c r="G216" s="188">
        <f>SUM(G195,G197,G199,G201,G203,G205,G208,G210,G213,G215)</f>
        <v>0</v>
      </c>
      <c r="H216" s="189" t="e">
        <f t="shared" si="34"/>
        <v>#REF!</v>
      </c>
      <c r="I216" s="163"/>
      <c r="J216" s="190"/>
      <c r="K216" s="188">
        <f>SUM(K195,K197,K199,K201,K203,K205,K208,K210,K213,K215)</f>
        <v>0</v>
      </c>
    </row>
    <row r="217" spans="2:11" ht="16.5" x14ac:dyDescent="0.35">
      <c r="B217" s="182" t="s">
        <v>859</v>
      </c>
      <c r="C217" s="117"/>
      <c r="D217" s="162"/>
      <c r="E217" s="138"/>
      <c r="F217" s="117"/>
      <c r="G217" s="128"/>
      <c r="H217" s="129"/>
      <c r="J217" s="141"/>
      <c r="K217" s="149"/>
    </row>
    <row r="218" spans="2:11" ht="13.5" x14ac:dyDescent="0.25">
      <c r="B218" s="170" t="s">
        <v>319</v>
      </c>
      <c r="C218" s="2" t="s">
        <v>320</v>
      </c>
      <c r="D218" s="179">
        <v>100</v>
      </c>
      <c r="E218" s="172" t="s">
        <v>25</v>
      </c>
      <c r="F218" s="173">
        <v>0</v>
      </c>
      <c r="G218" s="23">
        <f t="shared" ref="G218:G238" si="44">D218*F218</f>
        <v>0</v>
      </c>
      <c r="H218" s="24" t="e">
        <f t="shared" ref="H218:H240" si="45">IF($H$6=0, 0, G218/$H$6)</f>
        <v>#REF!</v>
      </c>
      <c r="J218" s="97"/>
      <c r="K218" s="148">
        <f>Table13546[[#This Row],[Total]]</f>
        <v>0</v>
      </c>
    </row>
    <row r="219" spans="2:11" ht="13.5" x14ac:dyDescent="0.25">
      <c r="B219" s="170" t="s">
        <v>319</v>
      </c>
      <c r="C219" s="2" t="s">
        <v>860</v>
      </c>
      <c r="D219" s="179">
        <v>1</v>
      </c>
      <c r="E219" s="172" t="s">
        <v>25</v>
      </c>
      <c r="F219" s="173">
        <v>0</v>
      </c>
      <c r="G219" s="23">
        <f t="shared" si="44"/>
        <v>0</v>
      </c>
      <c r="H219" s="24" t="e">
        <f t="shared" si="45"/>
        <v>#REF!</v>
      </c>
      <c r="J219" s="97"/>
      <c r="K219" s="148">
        <f>Table13546[[#This Row],[Total]]</f>
        <v>0</v>
      </c>
    </row>
    <row r="220" spans="2:11" ht="13.5" x14ac:dyDescent="0.25">
      <c r="B220" s="170" t="s">
        <v>319</v>
      </c>
      <c r="C220" s="2" t="s">
        <v>321</v>
      </c>
      <c r="D220" s="179">
        <v>1</v>
      </c>
      <c r="E220" s="172" t="s">
        <v>25</v>
      </c>
      <c r="F220" s="173">
        <v>0</v>
      </c>
      <c r="G220" s="23">
        <f t="shared" si="44"/>
        <v>0</v>
      </c>
      <c r="H220" s="24" t="e">
        <f t="shared" si="45"/>
        <v>#REF!</v>
      </c>
      <c r="J220" s="97"/>
      <c r="K220" s="148">
        <f>Table13546[[#This Row],[Total]]</f>
        <v>0</v>
      </c>
    </row>
    <row r="221" spans="2:11" ht="13.5" x14ac:dyDescent="0.25">
      <c r="B221" s="170" t="s">
        <v>322</v>
      </c>
      <c r="C221" s="2" t="s">
        <v>323</v>
      </c>
      <c r="D221" s="179">
        <v>0</v>
      </c>
      <c r="E221" s="172" t="s">
        <v>72</v>
      </c>
      <c r="F221" s="173">
        <v>0</v>
      </c>
      <c r="G221" s="23">
        <f t="shared" si="44"/>
        <v>0</v>
      </c>
      <c r="H221" s="24" t="e">
        <f t="shared" si="45"/>
        <v>#REF!</v>
      </c>
      <c r="J221" s="97"/>
      <c r="K221" s="148">
        <f>Table13546[[#This Row],[Total]]</f>
        <v>0</v>
      </c>
    </row>
    <row r="222" spans="2:11" ht="13.5" x14ac:dyDescent="0.25">
      <c r="B222" s="170" t="s">
        <v>324</v>
      </c>
      <c r="C222" s="2" t="s">
        <v>861</v>
      </c>
      <c r="D222" s="179">
        <v>1</v>
      </c>
      <c r="E222" s="172" t="s">
        <v>72</v>
      </c>
      <c r="F222" s="173">
        <v>0</v>
      </c>
      <c r="G222" s="23">
        <f t="shared" si="44"/>
        <v>0</v>
      </c>
      <c r="H222" s="24" t="e">
        <f t="shared" si="45"/>
        <v>#REF!</v>
      </c>
      <c r="J222" s="97"/>
      <c r="K222" s="148">
        <f>Table13546[[#This Row],[Total]]</f>
        <v>0</v>
      </c>
    </row>
    <row r="223" spans="2:11" ht="13.5" x14ac:dyDescent="0.25">
      <c r="B223" s="170" t="s">
        <v>326</v>
      </c>
      <c r="C223" s="2" t="s">
        <v>327</v>
      </c>
      <c r="D223" s="179">
        <v>50</v>
      </c>
      <c r="E223" s="172" t="s">
        <v>25</v>
      </c>
      <c r="F223" s="173">
        <v>0</v>
      </c>
      <c r="G223" s="23">
        <f t="shared" si="44"/>
        <v>0</v>
      </c>
      <c r="H223" s="24" t="e">
        <f t="shared" si="45"/>
        <v>#REF!</v>
      </c>
      <c r="J223" s="97"/>
      <c r="K223" s="148">
        <f>Table13546[[#This Row],[Total]]</f>
        <v>0</v>
      </c>
    </row>
    <row r="224" spans="2:11" ht="13.5" x14ac:dyDescent="0.25">
      <c r="B224" s="170" t="s">
        <v>328</v>
      </c>
      <c r="C224" s="2" t="s">
        <v>329</v>
      </c>
      <c r="D224" s="179">
        <v>0</v>
      </c>
      <c r="E224" s="172" t="s">
        <v>72</v>
      </c>
      <c r="F224" s="173">
        <v>0</v>
      </c>
      <c r="G224" s="23">
        <f t="shared" si="44"/>
        <v>0</v>
      </c>
      <c r="H224" s="24" t="e">
        <f t="shared" si="45"/>
        <v>#REF!</v>
      </c>
      <c r="J224" s="97"/>
      <c r="K224" s="148">
        <f>Table13546[[#This Row],[Total]]</f>
        <v>0</v>
      </c>
    </row>
    <row r="225" spans="2:11" ht="13.5" x14ac:dyDescent="0.25">
      <c r="B225" s="170" t="s">
        <v>330</v>
      </c>
      <c r="C225" s="2" t="s">
        <v>862</v>
      </c>
      <c r="D225" s="179">
        <v>1</v>
      </c>
      <c r="E225" s="172" t="s">
        <v>72</v>
      </c>
      <c r="F225" s="173">
        <v>0</v>
      </c>
      <c r="G225" s="23">
        <f t="shared" si="44"/>
        <v>0</v>
      </c>
      <c r="H225" s="24" t="e">
        <f t="shared" si="45"/>
        <v>#REF!</v>
      </c>
      <c r="J225" s="97"/>
      <c r="K225" s="148">
        <f>Table13546[[#This Row],[Total]]</f>
        <v>0</v>
      </c>
    </row>
    <row r="226" spans="2:11" ht="13.5" x14ac:dyDescent="0.25">
      <c r="B226" s="170" t="s">
        <v>332</v>
      </c>
      <c r="C226" s="2" t="s">
        <v>863</v>
      </c>
      <c r="D226" s="179">
        <v>100</v>
      </c>
      <c r="E226" s="172" t="s">
        <v>25</v>
      </c>
      <c r="F226" s="173">
        <v>0</v>
      </c>
      <c r="G226" s="23">
        <f t="shared" si="44"/>
        <v>0</v>
      </c>
      <c r="H226" s="24" t="e">
        <f t="shared" si="45"/>
        <v>#REF!</v>
      </c>
      <c r="J226" s="97"/>
      <c r="K226" s="148">
        <f>Table13546[[#This Row],[Total]]</f>
        <v>0</v>
      </c>
    </row>
    <row r="227" spans="2:11" ht="13.5" x14ac:dyDescent="0.25">
      <c r="B227" s="170" t="s">
        <v>334</v>
      </c>
      <c r="C227" s="2" t="s">
        <v>864</v>
      </c>
      <c r="D227" s="179">
        <v>100</v>
      </c>
      <c r="E227" s="172" t="s">
        <v>25</v>
      </c>
      <c r="F227" s="173">
        <v>0</v>
      </c>
      <c r="G227" s="23">
        <f t="shared" si="44"/>
        <v>0</v>
      </c>
      <c r="H227" s="24" t="e">
        <f t="shared" si="45"/>
        <v>#REF!</v>
      </c>
      <c r="J227" s="97"/>
      <c r="K227" s="148">
        <f>Table13546[[#This Row],[Total]]</f>
        <v>0</v>
      </c>
    </row>
    <row r="228" spans="2:11" ht="13.5" x14ac:dyDescent="0.25">
      <c r="B228" s="170" t="s">
        <v>336</v>
      </c>
      <c r="C228" s="2" t="s">
        <v>337</v>
      </c>
      <c r="D228" s="179">
        <v>30</v>
      </c>
      <c r="E228" s="172" t="s">
        <v>25</v>
      </c>
      <c r="F228" s="173">
        <v>0</v>
      </c>
      <c r="G228" s="23">
        <f t="shared" si="44"/>
        <v>0</v>
      </c>
      <c r="H228" s="24" t="e">
        <f t="shared" si="45"/>
        <v>#REF!</v>
      </c>
      <c r="J228" s="97"/>
      <c r="K228" s="148">
        <f>Table13546[[#This Row],[Total]]</f>
        <v>0</v>
      </c>
    </row>
    <row r="229" spans="2:11" ht="13.5" x14ac:dyDescent="0.25">
      <c r="B229" s="170" t="s">
        <v>336</v>
      </c>
      <c r="C229" s="2" t="s">
        <v>338</v>
      </c>
      <c r="D229" s="179">
        <v>1</v>
      </c>
      <c r="E229" s="172" t="s">
        <v>25</v>
      </c>
      <c r="F229" s="173">
        <v>0</v>
      </c>
      <c r="G229" s="23">
        <f t="shared" si="44"/>
        <v>0</v>
      </c>
      <c r="H229" s="24" t="e">
        <f t="shared" si="45"/>
        <v>#REF!</v>
      </c>
      <c r="J229" s="97"/>
      <c r="K229" s="148">
        <f>Table13546[[#This Row],[Total]]</f>
        <v>0</v>
      </c>
    </row>
    <row r="230" spans="2:11" ht="13.5" x14ac:dyDescent="0.25">
      <c r="B230" s="170" t="s">
        <v>339</v>
      </c>
      <c r="C230" s="2" t="s">
        <v>340</v>
      </c>
      <c r="D230" s="179">
        <v>2</v>
      </c>
      <c r="E230" s="172" t="s">
        <v>25</v>
      </c>
      <c r="F230" s="173">
        <v>0</v>
      </c>
      <c r="G230" s="23">
        <f t="shared" si="44"/>
        <v>0</v>
      </c>
      <c r="H230" s="24" t="e">
        <f t="shared" si="45"/>
        <v>#REF!</v>
      </c>
      <c r="J230" s="97"/>
      <c r="K230" s="148">
        <f>Table13546[[#This Row],[Total]]</f>
        <v>0</v>
      </c>
    </row>
    <row r="231" spans="2:11" ht="13.5" x14ac:dyDescent="0.25">
      <c r="B231" s="170" t="s">
        <v>341</v>
      </c>
      <c r="C231" s="2" t="s">
        <v>865</v>
      </c>
      <c r="D231" s="179">
        <v>20</v>
      </c>
      <c r="E231" s="172" t="s">
        <v>25</v>
      </c>
      <c r="F231" s="173">
        <v>0</v>
      </c>
      <c r="G231" s="23">
        <f t="shared" si="44"/>
        <v>0</v>
      </c>
      <c r="H231" s="24" t="e">
        <f t="shared" si="45"/>
        <v>#REF!</v>
      </c>
      <c r="J231" s="97"/>
      <c r="K231" s="148">
        <f>Table13546[[#This Row],[Total]]</f>
        <v>0</v>
      </c>
    </row>
    <row r="232" spans="2:11" ht="13.5" x14ac:dyDescent="0.25">
      <c r="B232" s="170" t="s">
        <v>343</v>
      </c>
      <c r="C232" s="2" t="s">
        <v>344</v>
      </c>
      <c r="D232" s="179">
        <v>0</v>
      </c>
      <c r="E232" s="172" t="s">
        <v>72</v>
      </c>
      <c r="F232" s="173">
        <v>0</v>
      </c>
      <c r="G232" s="23">
        <f t="shared" si="44"/>
        <v>0</v>
      </c>
      <c r="H232" s="24" t="e">
        <f t="shared" si="45"/>
        <v>#REF!</v>
      </c>
      <c r="J232" s="97"/>
      <c r="K232" s="148">
        <f>Table13546[[#This Row],[Total]]</f>
        <v>0</v>
      </c>
    </row>
    <row r="233" spans="2:11" ht="13.5" x14ac:dyDescent="0.25">
      <c r="B233" s="170" t="s">
        <v>345</v>
      </c>
      <c r="C233" s="2" t="s">
        <v>346</v>
      </c>
      <c r="D233" s="179">
        <v>100</v>
      </c>
      <c r="E233" s="172" t="s">
        <v>25</v>
      </c>
      <c r="F233" s="173">
        <v>0</v>
      </c>
      <c r="G233" s="23">
        <f t="shared" si="44"/>
        <v>0</v>
      </c>
      <c r="H233" s="24" t="e">
        <f t="shared" si="45"/>
        <v>#REF!</v>
      </c>
      <c r="J233" s="97"/>
      <c r="K233" s="148">
        <f>Table13546[[#This Row],[Total]]</f>
        <v>0</v>
      </c>
    </row>
    <row r="234" spans="2:11" ht="13.5" x14ac:dyDescent="0.25">
      <c r="B234" s="170" t="s">
        <v>345</v>
      </c>
      <c r="C234" s="2" t="s">
        <v>347</v>
      </c>
      <c r="D234" s="179">
        <v>0</v>
      </c>
      <c r="E234" s="172" t="s">
        <v>72</v>
      </c>
      <c r="F234" s="173">
        <v>0</v>
      </c>
      <c r="G234" s="23">
        <f t="shared" si="44"/>
        <v>0</v>
      </c>
      <c r="H234" s="24" t="e">
        <f t="shared" si="45"/>
        <v>#REF!</v>
      </c>
      <c r="J234" s="97"/>
      <c r="K234" s="148">
        <f>Table13546[[#This Row],[Total]]</f>
        <v>0</v>
      </c>
    </row>
    <row r="235" spans="2:11" ht="13.5" x14ac:dyDescent="0.25">
      <c r="B235" s="170" t="s">
        <v>348</v>
      </c>
      <c r="C235" s="2" t="s">
        <v>349</v>
      </c>
      <c r="D235" s="179">
        <v>100</v>
      </c>
      <c r="E235" s="172" t="s">
        <v>25</v>
      </c>
      <c r="F235" s="173">
        <v>0</v>
      </c>
      <c r="G235" s="23">
        <f t="shared" si="44"/>
        <v>0</v>
      </c>
      <c r="H235" s="24" t="e">
        <f t="shared" si="45"/>
        <v>#REF!</v>
      </c>
      <c r="J235" s="97"/>
      <c r="K235" s="148">
        <f>Table13546[[#This Row],[Total]]</f>
        <v>0</v>
      </c>
    </row>
    <row r="236" spans="2:11" ht="13.5" x14ac:dyDescent="0.25">
      <c r="B236" s="170" t="s">
        <v>350</v>
      </c>
      <c r="C236" s="2" t="s">
        <v>866</v>
      </c>
      <c r="D236" s="179">
        <v>0</v>
      </c>
      <c r="E236" s="172" t="s">
        <v>72</v>
      </c>
      <c r="F236" s="173">
        <v>0</v>
      </c>
      <c r="G236" s="23">
        <f t="shared" si="44"/>
        <v>0</v>
      </c>
      <c r="H236" s="24" t="e">
        <f t="shared" si="45"/>
        <v>#REF!</v>
      </c>
      <c r="J236" s="97"/>
      <c r="K236" s="148">
        <f>Table13546[[#This Row],[Total]]</f>
        <v>0</v>
      </c>
    </row>
    <row r="237" spans="2:11" ht="13.5" x14ac:dyDescent="0.25">
      <c r="B237" s="170" t="s">
        <v>352</v>
      </c>
      <c r="C237" s="2" t="s">
        <v>353</v>
      </c>
      <c r="D237" s="179">
        <v>0</v>
      </c>
      <c r="E237" s="172" t="s">
        <v>72</v>
      </c>
      <c r="F237" s="173">
        <v>0</v>
      </c>
      <c r="G237" s="23">
        <f t="shared" si="44"/>
        <v>0</v>
      </c>
      <c r="H237" s="24" t="e">
        <f t="shared" si="45"/>
        <v>#REF!</v>
      </c>
      <c r="J237" s="97"/>
      <c r="K237" s="148">
        <f>Table13546[[#This Row],[Total]]</f>
        <v>0</v>
      </c>
    </row>
    <row r="238" spans="2:11" ht="13.5" x14ac:dyDescent="0.25">
      <c r="B238" s="170" t="s">
        <v>354</v>
      </c>
      <c r="C238" s="2" t="s">
        <v>355</v>
      </c>
      <c r="D238" s="179">
        <v>0</v>
      </c>
      <c r="E238" s="172" t="s">
        <v>72</v>
      </c>
      <c r="F238" s="173">
        <v>0</v>
      </c>
      <c r="G238" s="23">
        <f t="shared" si="44"/>
        <v>0</v>
      </c>
      <c r="H238" s="24" t="e">
        <f t="shared" si="45"/>
        <v>#REF!</v>
      </c>
      <c r="J238" s="97"/>
      <c r="K238" s="148">
        <f>Table13546[[#This Row],[Total]]</f>
        <v>0</v>
      </c>
    </row>
    <row r="239" spans="2:11" s="106" customFormat="1" ht="14" x14ac:dyDescent="0.3">
      <c r="B239" s="184"/>
      <c r="C239" s="185"/>
      <c r="D239" s="186"/>
      <c r="E239" s="187"/>
      <c r="F239" s="175" t="s">
        <v>867</v>
      </c>
      <c r="G239" s="176">
        <f>SUM(G218:G238)</f>
        <v>0</v>
      </c>
      <c r="H239" s="177" t="e">
        <f t="shared" si="45"/>
        <v>#REF!</v>
      </c>
      <c r="J239" s="125"/>
      <c r="K239" s="176">
        <f>SUM(K218:K238)</f>
        <v>0</v>
      </c>
    </row>
    <row r="240" spans="2:11" ht="18.5" thickBot="1" x14ac:dyDescent="0.4">
      <c r="B240" s="118"/>
      <c r="C240" s="119"/>
      <c r="D240" s="161"/>
      <c r="E240" s="137"/>
      <c r="F240" s="183" t="s">
        <v>868</v>
      </c>
      <c r="G240" s="188">
        <f>SUM(G239)</f>
        <v>0</v>
      </c>
      <c r="H240" s="189" t="e">
        <f t="shared" si="45"/>
        <v>#REF!</v>
      </c>
      <c r="I240" s="163"/>
      <c r="J240" s="190"/>
      <c r="K240" s="188">
        <f>SUM(K239)</f>
        <v>0</v>
      </c>
    </row>
    <row r="241" spans="2:11" ht="16.5" x14ac:dyDescent="0.35">
      <c r="B241" s="182" t="s">
        <v>869</v>
      </c>
      <c r="C241" s="117"/>
      <c r="D241" s="162"/>
      <c r="E241" s="138"/>
      <c r="F241" s="117"/>
      <c r="G241" s="128"/>
      <c r="H241" s="129"/>
      <c r="J241" s="141"/>
      <c r="K241" s="149"/>
    </row>
    <row r="242" spans="2:11" ht="13.5" x14ac:dyDescent="0.25">
      <c r="B242" s="170" t="s">
        <v>356</v>
      </c>
      <c r="C242" s="2" t="s">
        <v>357</v>
      </c>
      <c r="D242" s="179">
        <v>0</v>
      </c>
      <c r="E242" s="172" t="s">
        <v>72</v>
      </c>
      <c r="F242" s="173">
        <v>0</v>
      </c>
      <c r="G242" s="23">
        <f t="shared" ref="G242:G248" si="46">D242*F242</f>
        <v>0</v>
      </c>
      <c r="H242" s="24" t="e">
        <f t="shared" ref="H242:H250" si="47">IF($H$6=0, 0, G242/$H$6)</f>
        <v>#REF!</v>
      </c>
      <c r="J242" s="97"/>
      <c r="K242" s="148">
        <f>Table13546[[#This Row],[Total]]</f>
        <v>0</v>
      </c>
    </row>
    <row r="243" spans="2:11" ht="13.5" x14ac:dyDescent="0.25">
      <c r="B243" s="170" t="s">
        <v>358</v>
      </c>
      <c r="C243" s="2" t="s">
        <v>359</v>
      </c>
      <c r="D243" s="179">
        <v>1</v>
      </c>
      <c r="E243" s="172" t="s">
        <v>72</v>
      </c>
      <c r="F243" s="173">
        <v>0</v>
      </c>
      <c r="G243" s="23">
        <f t="shared" si="46"/>
        <v>0</v>
      </c>
      <c r="H243" s="24" t="e">
        <f t="shared" si="47"/>
        <v>#REF!</v>
      </c>
      <c r="J243" s="97"/>
      <c r="K243" s="148">
        <f>Table13546[[#This Row],[Total]]</f>
        <v>0</v>
      </c>
    </row>
    <row r="244" spans="2:11" ht="13.5" x14ac:dyDescent="0.25">
      <c r="B244" s="170" t="s">
        <v>360</v>
      </c>
      <c r="C244" s="2" t="s">
        <v>361</v>
      </c>
      <c r="D244" s="179">
        <v>100</v>
      </c>
      <c r="E244" s="172" t="s">
        <v>25</v>
      </c>
      <c r="F244" s="173">
        <v>0</v>
      </c>
      <c r="G244" s="23">
        <f t="shared" si="46"/>
        <v>0</v>
      </c>
      <c r="H244" s="24" t="e">
        <f t="shared" si="47"/>
        <v>#REF!</v>
      </c>
      <c r="J244" s="97"/>
      <c r="K244" s="148">
        <f>Table13546[[#This Row],[Total]]</f>
        <v>0</v>
      </c>
    </row>
    <row r="245" spans="2:11" ht="13.5" x14ac:dyDescent="0.25">
      <c r="B245" s="170" t="s">
        <v>362</v>
      </c>
      <c r="C245" s="2" t="s">
        <v>363</v>
      </c>
      <c r="D245" s="179">
        <v>3</v>
      </c>
      <c r="E245" s="172" t="s">
        <v>25</v>
      </c>
      <c r="F245" s="173">
        <v>0</v>
      </c>
      <c r="G245" s="23">
        <f t="shared" si="46"/>
        <v>0</v>
      </c>
      <c r="H245" s="24" t="e">
        <f t="shared" si="47"/>
        <v>#REF!</v>
      </c>
      <c r="J245" s="97"/>
      <c r="K245" s="148">
        <f>Table13546[[#This Row],[Total]]</f>
        <v>0</v>
      </c>
    </row>
    <row r="246" spans="2:11" ht="13.5" x14ac:dyDescent="0.25">
      <c r="B246" s="170" t="s">
        <v>364</v>
      </c>
      <c r="C246" s="2" t="s">
        <v>365</v>
      </c>
      <c r="D246" s="179">
        <v>0</v>
      </c>
      <c r="E246" s="172" t="s">
        <v>72</v>
      </c>
      <c r="F246" s="173">
        <v>0</v>
      </c>
      <c r="G246" s="23">
        <f t="shared" si="46"/>
        <v>0</v>
      </c>
      <c r="H246" s="24" t="e">
        <f t="shared" si="47"/>
        <v>#REF!</v>
      </c>
      <c r="J246" s="97"/>
      <c r="K246" s="148">
        <f>Table13546[[#This Row],[Total]]</f>
        <v>0</v>
      </c>
    </row>
    <row r="247" spans="2:11" ht="13.5" x14ac:dyDescent="0.25">
      <c r="B247" s="170" t="s">
        <v>366</v>
      </c>
      <c r="C247" s="2" t="s">
        <v>367</v>
      </c>
      <c r="D247" s="179">
        <v>0</v>
      </c>
      <c r="E247" s="172" t="s">
        <v>72</v>
      </c>
      <c r="F247" s="173">
        <v>0</v>
      </c>
      <c r="G247" s="23">
        <f t="shared" si="46"/>
        <v>0</v>
      </c>
      <c r="H247" s="24" t="e">
        <f t="shared" si="47"/>
        <v>#REF!</v>
      </c>
      <c r="J247" s="97"/>
      <c r="K247" s="148">
        <f>Table13546[[#This Row],[Total]]</f>
        <v>0</v>
      </c>
    </row>
    <row r="248" spans="2:11" ht="13.5" x14ac:dyDescent="0.25">
      <c r="B248" s="170" t="s">
        <v>368</v>
      </c>
      <c r="C248" s="2" t="s">
        <v>369</v>
      </c>
      <c r="D248" s="179">
        <v>0</v>
      </c>
      <c r="E248" s="172" t="s">
        <v>72</v>
      </c>
      <c r="F248" s="173">
        <v>0</v>
      </c>
      <c r="G248" s="23">
        <f t="shared" si="46"/>
        <v>0</v>
      </c>
      <c r="H248" s="24" t="e">
        <f t="shared" si="47"/>
        <v>#REF!</v>
      </c>
      <c r="J248" s="97"/>
      <c r="K248" s="148">
        <f>Table13546[[#This Row],[Total]]</f>
        <v>0</v>
      </c>
    </row>
    <row r="249" spans="2:11" s="106" customFormat="1" ht="14" x14ac:dyDescent="0.3">
      <c r="B249" s="184"/>
      <c r="C249" s="185"/>
      <c r="D249" s="186"/>
      <c r="E249" s="187"/>
      <c r="F249" s="175" t="s">
        <v>870</v>
      </c>
      <c r="G249" s="176">
        <f>SUM(G242:G248)</f>
        <v>0</v>
      </c>
      <c r="H249" s="177" t="e">
        <f t="shared" si="47"/>
        <v>#REF!</v>
      </c>
      <c r="J249" s="125"/>
      <c r="K249" s="176">
        <f>SUM(K242:K248)</f>
        <v>0</v>
      </c>
    </row>
    <row r="250" spans="2:11" ht="18.5" thickBot="1" x14ac:dyDescent="0.4">
      <c r="B250" s="118"/>
      <c r="C250" s="119"/>
      <c r="D250" s="161"/>
      <c r="E250" s="137"/>
      <c r="F250" s="183" t="s">
        <v>871</v>
      </c>
      <c r="G250" s="188">
        <f>SUM(G249)</f>
        <v>0</v>
      </c>
      <c r="H250" s="189" t="e">
        <f t="shared" si="47"/>
        <v>#REF!</v>
      </c>
      <c r="I250" s="163"/>
      <c r="J250" s="190"/>
      <c r="K250" s="188">
        <f>SUM(K249)</f>
        <v>0</v>
      </c>
    </row>
    <row r="251" spans="2:11" ht="16.5" x14ac:dyDescent="0.35">
      <c r="B251" s="182" t="s">
        <v>872</v>
      </c>
      <c r="C251" s="117"/>
      <c r="D251" s="162"/>
      <c r="E251" s="138"/>
      <c r="F251" s="117"/>
      <c r="G251" s="128"/>
      <c r="H251" s="129"/>
      <c r="J251" s="141"/>
      <c r="K251" s="149"/>
    </row>
    <row r="252" spans="2:11" x14ac:dyDescent="0.25">
      <c r="B252" s="170" t="s">
        <v>370</v>
      </c>
      <c r="C252" s="2" t="s">
        <v>371</v>
      </c>
      <c r="D252" s="179">
        <v>100</v>
      </c>
      <c r="E252" s="172" t="s">
        <v>25</v>
      </c>
      <c r="F252" s="173">
        <v>0</v>
      </c>
      <c r="G252" s="23">
        <f t="shared" ref="G252:G259" si="48">D252*F252</f>
        <v>0</v>
      </c>
      <c r="H252" s="24" t="e">
        <f t="shared" ref="H252:H261" si="49">IF($H$6=0, 0, G252/$H$6)</f>
        <v>#REF!</v>
      </c>
      <c r="J252" s="12"/>
      <c r="K252" s="174">
        <f>Table13546[[#This Row],[Total]]</f>
        <v>0</v>
      </c>
    </row>
    <row r="253" spans="2:11" ht="13.5" x14ac:dyDescent="0.25">
      <c r="B253" s="170" t="s">
        <v>372</v>
      </c>
      <c r="C253" s="2" t="s">
        <v>873</v>
      </c>
      <c r="D253" s="179">
        <v>100</v>
      </c>
      <c r="E253" s="172" t="s">
        <v>25</v>
      </c>
      <c r="F253" s="173">
        <v>0</v>
      </c>
      <c r="G253" s="23">
        <f t="shared" si="48"/>
        <v>0</v>
      </c>
      <c r="H253" s="24" t="e">
        <f t="shared" si="49"/>
        <v>#REF!</v>
      </c>
      <c r="J253" s="97"/>
      <c r="K253" s="148">
        <f>Table13546[[#This Row],[Total]]</f>
        <v>0</v>
      </c>
    </row>
    <row r="254" spans="2:11" ht="13.5" x14ac:dyDescent="0.25">
      <c r="B254" s="170" t="s">
        <v>372</v>
      </c>
      <c r="C254" s="2" t="s">
        <v>373</v>
      </c>
      <c r="D254" s="179">
        <v>1</v>
      </c>
      <c r="E254" s="172" t="s">
        <v>72</v>
      </c>
      <c r="F254" s="173">
        <v>0</v>
      </c>
      <c r="G254" s="23">
        <f t="shared" si="48"/>
        <v>0</v>
      </c>
      <c r="H254" s="24" t="e">
        <f t="shared" si="49"/>
        <v>#REF!</v>
      </c>
      <c r="J254" s="97"/>
      <c r="K254" s="148">
        <f>Table13546[[#This Row],[Total]]</f>
        <v>0</v>
      </c>
    </row>
    <row r="255" spans="2:11" ht="13.5" x14ac:dyDescent="0.25">
      <c r="B255" s="170" t="s">
        <v>374</v>
      </c>
      <c r="C255" s="2" t="s">
        <v>375</v>
      </c>
      <c r="D255" s="179">
        <v>100</v>
      </c>
      <c r="E255" s="172" t="s">
        <v>25</v>
      </c>
      <c r="F255" s="173">
        <v>0</v>
      </c>
      <c r="G255" s="23">
        <f t="shared" si="48"/>
        <v>0</v>
      </c>
      <c r="H255" s="24" t="e">
        <f t="shared" si="49"/>
        <v>#REF!</v>
      </c>
      <c r="J255" s="97"/>
      <c r="K255" s="148">
        <f>Table13546[[#This Row],[Total]]</f>
        <v>0</v>
      </c>
    </row>
    <row r="256" spans="2:11" ht="13.5" x14ac:dyDescent="0.25">
      <c r="B256" s="170" t="s">
        <v>376</v>
      </c>
      <c r="C256" s="2" t="s">
        <v>377</v>
      </c>
      <c r="D256" s="179">
        <v>1</v>
      </c>
      <c r="E256" s="172" t="s">
        <v>72</v>
      </c>
      <c r="F256" s="173">
        <v>0</v>
      </c>
      <c r="G256" s="23">
        <f t="shared" si="48"/>
        <v>0</v>
      </c>
      <c r="H256" s="24" t="e">
        <f t="shared" si="49"/>
        <v>#REF!</v>
      </c>
      <c r="J256" s="97"/>
      <c r="K256" s="148">
        <f>Table13546[[#This Row],[Total]]</f>
        <v>0</v>
      </c>
    </row>
    <row r="257" spans="2:11" ht="13.5" x14ac:dyDescent="0.25">
      <c r="B257" s="170" t="s">
        <v>378</v>
      </c>
      <c r="C257" s="2" t="s">
        <v>874</v>
      </c>
      <c r="D257" s="179">
        <v>0</v>
      </c>
      <c r="E257" s="172" t="s">
        <v>72</v>
      </c>
      <c r="F257" s="173">
        <v>0</v>
      </c>
      <c r="G257" s="23">
        <f t="shared" si="48"/>
        <v>0</v>
      </c>
      <c r="H257" s="24" t="e">
        <f t="shared" si="49"/>
        <v>#REF!</v>
      </c>
      <c r="J257" s="97"/>
      <c r="K257" s="148">
        <f>Table13546[[#This Row],[Total]]</f>
        <v>0</v>
      </c>
    </row>
    <row r="258" spans="2:11" ht="13.5" x14ac:dyDescent="0.25">
      <c r="B258" s="170" t="s">
        <v>380</v>
      </c>
      <c r="C258" s="2" t="s">
        <v>875</v>
      </c>
      <c r="D258" s="179">
        <v>0</v>
      </c>
      <c r="E258" s="172" t="s">
        <v>72</v>
      </c>
      <c r="F258" s="173">
        <v>0</v>
      </c>
      <c r="G258" s="23">
        <f t="shared" si="48"/>
        <v>0</v>
      </c>
      <c r="H258" s="24" t="e">
        <f t="shared" si="49"/>
        <v>#REF!</v>
      </c>
      <c r="J258" s="97"/>
      <c r="K258" s="148">
        <f>Table13546[[#This Row],[Total]]</f>
        <v>0</v>
      </c>
    </row>
    <row r="259" spans="2:11" ht="13.5" x14ac:dyDescent="0.25">
      <c r="B259" s="170" t="s">
        <v>382</v>
      </c>
      <c r="C259" s="2" t="s">
        <v>876</v>
      </c>
      <c r="D259" s="179">
        <v>1</v>
      </c>
      <c r="E259" s="172" t="s">
        <v>72</v>
      </c>
      <c r="F259" s="173">
        <v>0</v>
      </c>
      <c r="G259" s="23">
        <f t="shared" si="48"/>
        <v>0</v>
      </c>
      <c r="H259" s="24" t="e">
        <f t="shared" si="49"/>
        <v>#REF!</v>
      </c>
      <c r="J259" s="97"/>
      <c r="K259" s="148">
        <f>Table13546[[#This Row],[Total]]</f>
        <v>0</v>
      </c>
    </row>
    <row r="260" spans="2:11" s="106" customFormat="1" ht="14" x14ac:dyDescent="0.3">
      <c r="B260" s="184"/>
      <c r="C260" s="185"/>
      <c r="D260" s="186"/>
      <c r="E260" s="187"/>
      <c r="F260" s="175" t="s">
        <v>877</v>
      </c>
      <c r="G260" s="176">
        <f>SUM(G252:G259)</f>
        <v>0</v>
      </c>
      <c r="H260" s="177" t="e">
        <f t="shared" si="49"/>
        <v>#REF!</v>
      </c>
      <c r="J260" s="125"/>
      <c r="K260" s="176">
        <f>SUM(K252:K259)</f>
        <v>0</v>
      </c>
    </row>
    <row r="261" spans="2:11" ht="18.5" thickBot="1" x14ac:dyDescent="0.4">
      <c r="B261" s="118"/>
      <c r="C261" s="119"/>
      <c r="D261" s="161"/>
      <c r="E261" s="137"/>
      <c r="F261" s="183" t="s">
        <v>878</v>
      </c>
      <c r="G261" s="188">
        <f>SUM(G260)</f>
        <v>0</v>
      </c>
      <c r="H261" s="189" t="e">
        <f t="shared" si="49"/>
        <v>#REF!</v>
      </c>
      <c r="I261" s="163"/>
      <c r="J261" s="190"/>
      <c r="K261" s="188">
        <f>SUM(K260)</f>
        <v>0</v>
      </c>
    </row>
    <row r="262" spans="2:11" ht="17.5" x14ac:dyDescent="0.35">
      <c r="B262" s="116" t="s">
        <v>879</v>
      </c>
      <c r="C262" s="117"/>
      <c r="D262" s="162"/>
      <c r="E262" s="138"/>
      <c r="F262" s="117"/>
      <c r="G262" s="128"/>
      <c r="H262" s="129"/>
      <c r="J262" s="141"/>
      <c r="K262" s="149"/>
    </row>
    <row r="263" spans="2:11" ht="13.5" x14ac:dyDescent="0.25">
      <c r="B263" s="170" t="s">
        <v>384</v>
      </c>
      <c r="C263" s="2" t="s">
        <v>385</v>
      </c>
      <c r="D263" s="179">
        <v>1</v>
      </c>
      <c r="E263" s="172" t="s">
        <v>72</v>
      </c>
      <c r="F263" s="173">
        <v>0</v>
      </c>
      <c r="G263" s="23">
        <f t="shared" ref="G263:G266" si="50">D263*F263</f>
        <v>0</v>
      </c>
      <c r="H263" s="24" t="e">
        <f t="shared" ref="H263:H268" si="51">IF($H$6=0, 0, G263/$H$6)</f>
        <v>#REF!</v>
      </c>
      <c r="J263" s="97"/>
      <c r="K263" s="148">
        <f>Table13546[[#This Row],[Total]]</f>
        <v>0</v>
      </c>
    </row>
    <row r="264" spans="2:11" ht="13.5" x14ac:dyDescent="0.25">
      <c r="B264" s="170" t="s">
        <v>384</v>
      </c>
      <c r="C264" s="2" t="s">
        <v>386</v>
      </c>
      <c r="D264" s="179">
        <v>1</v>
      </c>
      <c r="E264" s="172" t="s">
        <v>72</v>
      </c>
      <c r="F264" s="173">
        <v>0</v>
      </c>
      <c r="G264" s="23">
        <f t="shared" si="50"/>
        <v>0</v>
      </c>
      <c r="H264" s="24" t="e">
        <f t="shared" si="51"/>
        <v>#REF!</v>
      </c>
      <c r="J264" s="97"/>
      <c r="K264" s="148">
        <f>Table13546[[#This Row],[Total]]</f>
        <v>0</v>
      </c>
    </row>
    <row r="265" spans="2:11" ht="13.5" x14ac:dyDescent="0.25">
      <c r="B265" s="170" t="s">
        <v>387</v>
      </c>
      <c r="C265" s="2" t="s">
        <v>388</v>
      </c>
      <c r="D265" s="179">
        <v>2</v>
      </c>
      <c r="E265" s="172" t="s">
        <v>72</v>
      </c>
      <c r="F265" s="173">
        <v>0</v>
      </c>
      <c r="G265" s="23">
        <f t="shared" si="50"/>
        <v>0</v>
      </c>
      <c r="H265" s="24" t="e">
        <f t="shared" si="51"/>
        <v>#REF!</v>
      </c>
      <c r="J265" s="97"/>
      <c r="K265" s="148">
        <f>Table13546[[#This Row],[Total]]</f>
        <v>0</v>
      </c>
    </row>
    <row r="266" spans="2:11" ht="13.5" x14ac:dyDescent="0.25">
      <c r="B266" s="170" t="s">
        <v>389</v>
      </c>
      <c r="C266" s="2" t="s">
        <v>390</v>
      </c>
      <c r="D266" s="179">
        <v>1</v>
      </c>
      <c r="E266" s="172" t="s">
        <v>72</v>
      </c>
      <c r="F266" s="173">
        <v>0</v>
      </c>
      <c r="G266" s="23">
        <f t="shared" si="50"/>
        <v>0</v>
      </c>
      <c r="H266" s="24" t="e">
        <f t="shared" si="51"/>
        <v>#REF!</v>
      </c>
      <c r="J266" s="97"/>
      <c r="K266" s="148">
        <f>Table13546[[#This Row],[Total]]</f>
        <v>0</v>
      </c>
    </row>
    <row r="267" spans="2:11" s="106" customFormat="1" ht="14" x14ac:dyDescent="0.3">
      <c r="B267" s="184"/>
      <c r="C267" s="185"/>
      <c r="D267" s="186"/>
      <c r="E267" s="187"/>
      <c r="F267" s="175" t="s">
        <v>880</v>
      </c>
      <c r="G267" s="176">
        <f>SUM(G263:G266)</f>
        <v>0</v>
      </c>
      <c r="H267" s="177" t="e">
        <f t="shared" si="51"/>
        <v>#REF!</v>
      </c>
      <c r="J267" s="125"/>
      <c r="K267" s="176">
        <f>SUM(K263:K266)</f>
        <v>0</v>
      </c>
    </row>
    <row r="268" spans="2:11" ht="18.5" thickBot="1" x14ac:dyDescent="0.4">
      <c r="B268" s="118"/>
      <c r="C268" s="119"/>
      <c r="D268" s="161"/>
      <c r="E268" s="137"/>
      <c r="F268" s="183" t="s">
        <v>881</v>
      </c>
      <c r="G268" s="188">
        <f>SUM(G267)</f>
        <v>0</v>
      </c>
      <c r="H268" s="189" t="e">
        <f t="shared" si="51"/>
        <v>#REF!</v>
      </c>
      <c r="I268" s="163"/>
      <c r="J268" s="190"/>
      <c r="K268" s="188">
        <f>SUM(K267)</f>
        <v>0</v>
      </c>
    </row>
    <row r="269" spans="2:11" ht="16.5" x14ac:dyDescent="0.35">
      <c r="B269" s="182" t="s">
        <v>882</v>
      </c>
      <c r="C269" s="117"/>
      <c r="D269" s="162"/>
      <c r="E269" s="138"/>
      <c r="F269" s="117"/>
      <c r="G269" s="128"/>
      <c r="H269" s="129"/>
      <c r="J269" s="141"/>
      <c r="K269" s="149"/>
    </row>
    <row r="270" spans="2:11" ht="13.5" x14ac:dyDescent="0.25">
      <c r="B270" s="170" t="s">
        <v>392</v>
      </c>
      <c r="C270" s="2" t="s">
        <v>883</v>
      </c>
      <c r="D270" s="179">
        <v>0</v>
      </c>
      <c r="E270" s="172" t="s">
        <v>25</v>
      </c>
      <c r="F270" s="173">
        <v>0</v>
      </c>
      <c r="G270" s="23">
        <f t="shared" ref="G270:G273" si="52">D270*F270</f>
        <v>0</v>
      </c>
      <c r="H270" s="24" t="e">
        <f t="shared" ref="H270:H275" si="53">IF($H$6=0, 0, G270/$H$6)</f>
        <v>#REF!</v>
      </c>
      <c r="J270" s="97"/>
      <c r="K270" s="148">
        <f>Table13546[[#This Row],[Total]]</f>
        <v>0</v>
      </c>
    </row>
    <row r="271" spans="2:11" ht="13.5" x14ac:dyDescent="0.25">
      <c r="B271" s="170" t="s">
        <v>394</v>
      </c>
      <c r="C271" s="2" t="s">
        <v>395</v>
      </c>
      <c r="D271" s="179">
        <v>14</v>
      </c>
      <c r="E271" s="172" t="s">
        <v>884</v>
      </c>
      <c r="F271" s="173">
        <v>0</v>
      </c>
      <c r="G271" s="23">
        <f t="shared" si="52"/>
        <v>0</v>
      </c>
      <c r="H271" s="24" t="e">
        <f t="shared" si="53"/>
        <v>#REF!</v>
      </c>
      <c r="J271" s="97"/>
      <c r="K271" s="148">
        <f>Table13546[[#This Row],[Total]]</f>
        <v>0</v>
      </c>
    </row>
    <row r="272" spans="2:11" ht="13.5" x14ac:dyDescent="0.25">
      <c r="B272" s="170" t="s">
        <v>396</v>
      </c>
      <c r="C272" s="2" t="s">
        <v>397</v>
      </c>
      <c r="D272" s="179">
        <v>0</v>
      </c>
      <c r="E272" s="172" t="s">
        <v>25</v>
      </c>
      <c r="F272" s="173">
        <v>0</v>
      </c>
      <c r="G272" s="23">
        <f t="shared" si="52"/>
        <v>0</v>
      </c>
      <c r="H272" s="24" t="e">
        <f t="shared" si="53"/>
        <v>#REF!</v>
      </c>
      <c r="J272" s="97"/>
      <c r="K272" s="148">
        <f>Table13546[[#This Row],[Total]]</f>
        <v>0</v>
      </c>
    </row>
    <row r="273" spans="2:11" ht="13.5" x14ac:dyDescent="0.25">
      <c r="B273" s="170" t="s">
        <v>398</v>
      </c>
      <c r="C273" s="2" t="s">
        <v>399</v>
      </c>
      <c r="D273" s="179">
        <v>1</v>
      </c>
      <c r="E273" s="172" t="s">
        <v>25</v>
      </c>
      <c r="F273" s="173">
        <v>0</v>
      </c>
      <c r="G273" s="23">
        <f t="shared" si="52"/>
        <v>0</v>
      </c>
      <c r="H273" s="24" t="e">
        <f t="shared" si="53"/>
        <v>#REF!</v>
      </c>
      <c r="J273" s="97"/>
      <c r="K273" s="148">
        <f>Table13546[[#This Row],[Total]]</f>
        <v>0</v>
      </c>
    </row>
    <row r="274" spans="2:11" s="106" customFormat="1" ht="14" x14ac:dyDescent="0.3">
      <c r="B274" s="184"/>
      <c r="C274" s="185"/>
      <c r="D274" s="186"/>
      <c r="E274" s="187"/>
      <c r="F274" s="175" t="s">
        <v>885</v>
      </c>
      <c r="G274" s="176">
        <f>SUM(G270:G273)</f>
        <v>0</v>
      </c>
      <c r="H274" s="177" t="e">
        <f t="shared" si="53"/>
        <v>#REF!</v>
      </c>
      <c r="J274" s="125"/>
      <c r="K274" s="176">
        <f>SUM(K270:K273)</f>
        <v>0</v>
      </c>
    </row>
    <row r="275" spans="2:11" ht="18.5" thickBot="1" x14ac:dyDescent="0.4">
      <c r="B275" s="118"/>
      <c r="C275" s="119"/>
      <c r="D275" s="161"/>
      <c r="E275" s="137"/>
      <c r="F275" s="183" t="s">
        <v>886</v>
      </c>
      <c r="G275" s="188">
        <f>SUM(G274)</f>
        <v>0</v>
      </c>
      <c r="H275" s="189" t="e">
        <f t="shared" si="53"/>
        <v>#REF!</v>
      </c>
      <c r="I275" s="163"/>
      <c r="J275" s="190"/>
      <c r="K275" s="188">
        <f>SUM(K274)</f>
        <v>0</v>
      </c>
    </row>
    <row r="276" spans="2:11" ht="16.5" x14ac:dyDescent="0.35">
      <c r="B276" s="182" t="s">
        <v>887</v>
      </c>
      <c r="C276" s="117"/>
      <c r="D276" s="162"/>
      <c r="E276" s="138"/>
      <c r="F276" s="117"/>
      <c r="G276" s="128"/>
      <c r="H276" s="129"/>
      <c r="J276" s="141"/>
      <c r="K276" s="149"/>
    </row>
    <row r="277" spans="2:11" ht="13.5" x14ac:dyDescent="0.25">
      <c r="B277" s="170" t="s">
        <v>400</v>
      </c>
      <c r="C277" s="2" t="s">
        <v>401</v>
      </c>
      <c r="D277" s="179">
        <v>100</v>
      </c>
      <c r="E277" s="172" t="s">
        <v>25</v>
      </c>
      <c r="F277" s="173">
        <v>0</v>
      </c>
      <c r="G277" s="23">
        <f t="shared" ref="G277:G278" si="54">D277*F277</f>
        <v>0</v>
      </c>
      <c r="H277" s="24" t="e">
        <f t="shared" ref="H277:H280" si="55">IF($H$6=0, 0, G277/$H$6)</f>
        <v>#REF!</v>
      </c>
      <c r="J277" s="97"/>
      <c r="K277" s="148">
        <f>Table13546[[#This Row],[Total]]</f>
        <v>0</v>
      </c>
    </row>
    <row r="278" spans="2:11" ht="13.5" x14ac:dyDescent="0.25">
      <c r="B278" s="170" t="s">
        <v>400</v>
      </c>
      <c r="C278" s="2" t="s">
        <v>402</v>
      </c>
      <c r="D278" s="179">
        <v>1</v>
      </c>
      <c r="E278" s="172" t="s">
        <v>72</v>
      </c>
      <c r="F278" s="173">
        <v>0</v>
      </c>
      <c r="G278" s="23">
        <f t="shared" si="54"/>
        <v>0</v>
      </c>
      <c r="H278" s="24" t="e">
        <f t="shared" si="55"/>
        <v>#REF!</v>
      </c>
      <c r="J278" s="97"/>
      <c r="K278" s="148">
        <f>Table13546[[#This Row],[Total]]</f>
        <v>0</v>
      </c>
    </row>
    <row r="279" spans="2:11" s="106" customFormat="1" ht="14" x14ac:dyDescent="0.3">
      <c r="B279" s="184"/>
      <c r="C279" s="185"/>
      <c r="D279" s="186"/>
      <c r="E279" s="187"/>
      <c r="F279" s="175" t="s">
        <v>888</v>
      </c>
      <c r="G279" s="176">
        <f>SUM(G277:G278)</f>
        <v>0</v>
      </c>
      <c r="H279" s="177" t="e">
        <f t="shared" si="55"/>
        <v>#REF!</v>
      </c>
      <c r="J279" s="125"/>
      <c r="K279" s="176">
        <f>SUM(K277:K278)</f>
        <v>0</v>
      </c>
    </row>
    <row r="280" spans="2:11" ht="18.5" thickBot="1" x14ac:dyDescent="0.4">
      <c r="B280" s="118"/>
      <c r="C280" s="119"/>
      <c r="D280" s="161"/>
      <c r="E280" s="137"/>
      <c r="F280" s="183" t="s">
        <v>889</v>
      </c>
      <c r="G280" s="188">
        <f>SUM(G279)</f>
        <v>0</v>
      </c>
      <c r="H280" s="189" t="e">
        <f t="shared" si="55"/>
        <v>#REF!</v>
      </c>
      <c r="I280" s="163"/>
      <c r="J280" s="190"/>
      <c r="K280" s="188">
        <f>SUM(K279)</f>
        <v>0</v>
      </c>
    </row>
    <row r="281" spans="2:11" ht="16.5" x14ac:dyDescent="0.35">
      <c r="B281" s="182" t="s">
        <v>890</v>
      </c>
      <c r="C281" s="117"/>
      <c r="D281" s="162"/>
      <c r="E281" s="138"/>
      <c r="F281" s="117"/>
      <c r="G281" s="128"/>
      <c r="H281" s="129"/>
      <c r="J281" s="141"/>
      <c r="K281" s="149"/>
    </row>
    <row r="282" spans="2:11" ht="13.5" x14ac:dyDescent="0.25">
      <c r="B282" s="170" t="s">
        <v>403</v>
      </c>
      <c r="C282" s="2" t="s">
        <v>404</v>
      </c>
      <c r="D282" s="179">
        <v>100</v>
      </c>
      <c r="E282" s="172" t="s">
        <v>25</v>
      </c>
      <c r="F282" s="173">
        <v>0</v>
      </c>
      <c r="G282" s="23">
        <f t="shared" ref="G282:G283" si="56">D282*F282</f>
        <v>0</v>
      </c>
      <c r="H282" s="24" t="e">
        <f t="shared" ref="H282:H285" si="57">IF($H$6=0, 0, G282/$H$6)</f>
        <v>#REF!</v>
      </c>
      <c r="J282" s="97"/>
      <c r="K282" s="148">
        <f>Table13546[[#This Row],[Total]]</f>
        <v>0</v>
      </c>
    </row>
    <row r="283" spans="2:11" ht="13.5" x14ac:dyDescent="0.25">
      <c r="B283" s="170" t="s">
        <v>403</v>
      </c>
      <c r="C283" s="2" t="s">
        <v>405</v>
      </c>
      <c r="D283" s="179">
        <v>1E-3</v>
      </c>
      <c r="E283" s="172" t="s">
        <v>72</v>
      </c>
      <c r="F283" s="173">
        <v>0</v>
      </c>
      <c r="G283" s="23">
        <f t="shared" si="56"/>
        <v>0</v>
      </c>
      <c r="H283" s="24" t="e">
        <f t="shared" si="57"/>
        <v>#REF!</v>
      </c>
      <c r="J283" s="97"/>
      <c r="K283" s="148">
        <f>Table13546[[#This Row],[Total]]</f>
        <v>0</v>
      </c>
    </row>
    <row r="284" spans="2:11" s="106" customFormat="1" ht="14" x14ac:dyDescent="0.3">
      <c r="B284" s="184"/>
      <c r="C284" s="185"/>
      <c r="D284" s="186"/>
      <c r="E284" s="187"/>
      <c r="F284" s="175" t="s">
        <v>891</v>
      </c>
      <c r="G284" s="176">
        <f>SUM(G282:G283)</f>
        <v>0</v>
      </c>
      <c r="H284" s="177" t="e">
        <f t="shared" si="57"/>
        <v>#REF!</v>
      </c>
      <c r="J284" s="125"/>
      <c r="K284" s="176">
        <f>SUM(K282:K283)</f>
        <v>0</v>
      </c>
    </row>
    <row r="285" spans="2:11" ht="18.5" thickBot="1" x14ac:dyDescent="0.4">
      <c r="B285" s="118"/>
      <c r="C285" s="119"/>
      <c r="D285" s="161"/>
      <c r="E285" s="137"/>
      <c r="F285" s="183" t="s">
        <v>892</v>
      </c>
      <c r="G285" s="188">
        <f>SUM(G284)</f>
        <v>0</v>
      </c>
      <c r="H285" s="189" t="e">
        <f t="shared" si="57"/>
        <v>#REF!</v>
      </c>
      <c r="I285" s="163"/>
      <c r="J285" s="190"/>
      <c r="K285" s="188">
        <f>SUM(K284)</f>
        <v>0</v>
      </c>
    </row>
    <row r="286" spans="2:11" ht="16.5" x14ac:dyDescent="0.35">
      <c r="B286" s="182" t="s">
        <v>893</v>
      </c>
      <c r="C286" s="117"/>
      <c r="D286" s="162"/>
      <c r="E286" s="138"/>
      <c r="F286" s="117"/>
      <c r="G286" s="128"/>
      <c r="H286" s="129"/>
      <c r="J286" s="141"/>
      <c r="K286" s="149"/>
    </row>
    <row r="287" spans="2:11" ht="13.5" x14ac:dyDescent="0.25">
      <c r="B287" s="170" t="s">
        <v>406</v>
      </c>
      <c r="C287" s="2" t="s">
        <v>894</v>
      </c>
      <c r="D287" s="179">
        <v>100</v>
      </c>
      <c r="E287" s="172" t="s">
        <v>25</v>
      </c>
      <c r="F287" s="173">
        <v>0</v>
      </c>
      <c r="G287" s="23">
        <f t="shared" ref="G287:G288" si="58">D287*F287</f>
        <v>0</v>
      </c>
      <c r="H287" s="24" t="e">
        <f t="shared" ref="H287:H290" si="59">IF($H$6=0, 0, G287/$H$6)</f>
        <v>#REF!</v>
      </c>
      <c r="J287" s="97"/>
      <c r="K287" s="148">
        <f>Table13546[[#This Row],[Total]]</f>
        <v>0</v>
      </c>
    </row>
    <row r="288" spans="2:11" ht="13.5" x14ac:dyDescent="0.25">
      <c r="B288" s="170" t="s">
        <v>406</v>
      </c>
      <c r="C288" s="2" t="s">
        <v>895</v>
      </c>
      <c r="D288" s="179">
        <v>0</v>
      </c>
      <c r="E288" s="172" t="s">
        <v>72</v>
      </c>
      <c r="F288" s="173">
        <v>0</v>
      </c>
      <c r="G288" s="23">
        <f t="shared" si="58"/>
        <v>0</v>
      </c>
      <c r="H288" s="24" t="e">
        <f t="shared" si="59"/>
        <v>#REF!</v>
      </c>
      <c r="J288" s="97"/>
      <c r="K288" s="148">
        <f>Table13546[[#This Row],[Total]]</f>
        <v>0</v>
      </c>
    </row>
    <row r="289" spans="2:11" s="106" customFormat="1" ht="14" x14ac:dyDescent="0.3">
      <c r="B289" s="184"/>
      <c r="C289" s="185"/>
      <c r="D289" s="186"/>
      <c r="E289" s="187"/>
      <c r="F289" s="175" t="s">
        <v>896</v>
      </c>
      <c r="G289" s="176">
        <f>SUM(G287:G288)</f>
        <v>0</v>
      </c>
      <c r="H289" s="177" t="e">
        <f t="shared" si="59"/>
        <v>#REF!</v>
      </c>
      <c r="J289" s="125"/>
      <c r="K289" s="176">
        <f>SUM(K287:K288)</f>
        <v>0</v>
      </c>
    </row>
    <row r="290" spans="2:11" ht="18.5" thickBot="1" x14ac:dyDescent="0.4">
      <c r="B290" s="118"/>
      <c r="C290" s="119"/>
      <c r="D290" s="161"/>
      <c r="E290" s="137"/>
      <c r="F290" s="183" t="s">
        <v>897</v>
      </c>
      <c r="G290" s="188">
        <f>SUM(G289)</f>
        <v>0</v>
      </c>
      <c r="H290" s="189" t="e">
        <f t="shared" si="59"/>
        <v>#REF!</v>
      </c>
      <c r="I290" s="163"/>
      <c r="J290" s="190"/>
      <c r="K290" s="188">
        <f>SUM(K289)</f>
        <v>0</v>
      </c>
    </row>
    <row r="291" spans="2:11" ht="16.5" x14ac:dyDescent="0.35">
      <c r="B291" s="182" t="s">
        <v>898</v>
      </c>
      <c r="C291" s="117"/>
      <c r="D291" s="162"/>
      <c r="E291" s="138"/>
      <c r="F291" s="117"/>
      <c r="G291" s="128"/>
      <c r="H291" s="129"/>
      <c r="J291" s="141"/>
      <c r="K291" s="149"/>
    </row>
    <row r="292" spans="2:11" ht="13.5" x14ac:dyDescent="0.25">
      <c r="B292" s="181" t="s">
        <v>407</v>
      </c>
      <c r="C292" t="s">
        <v>408</v>
      </c>
      <c r="D292" s="180">
        <v>100</v>
      </c>
      <c r="E292" s="160" t="s">
        <v>25</v>
      </c>
      <c r="F292" s="173">
        <v>0</v>
      </c>
      <c r="G292" s="23">
        <f t="shared" ref="G292:G293" si="60">D292*F292</f>
        <v>0</v>
      </c>
      <c r="H292" s="24" t="e">
        <f t="shared" ref="H292:H295" si="61">IF($H$6=0, 0, G292/$H$6)</f>
        <v>#REF!</v>
      </c>
      <c r="J292" s="97"/>
      <c r="K292" s="148">
        <f>Table13546[[#This Row],[Total]]</f>
        <v>0</v>
      </c>
    </row>
    <row r="293" spans="2:11" ht="13.5" x14ac:dyDescent="0.25">
      <c r="B293" s="181" t="s">
        <v>407</v>
      </c>
      <c r="C293" t="s">
        <v>899</v>
      </c>
      <c r="D293" s="180">
        <v>0</v>
      </c>
      <c r="E293" s="160" t="s">
        <v>27</v>
      </c>
      <c r="F293" s="173">
        <v>0</v>
      </c>
      <c r="G293" s="23">
        <f t="shared" si="60"/>
        <v>0</v>
      </c>
      <c r="H293" s="24" t="e">
        <f t="shared" si="61"/>
        <v>#REF!</v>
      </c>
      <c r="J293" s="97"/>
      <c r="K293" s="148">
        <f>Table13546[[#This Row],[Total]]</f>
        <v>0</v>
      </c>
    </row>
    <row r="294" spans="2:11" s="106" customFormat="1" ht="14" x14ac:dyDescent="0.3">
      <c r="B294" s="184"/>
      <c r="C294" s="185"/>
      <c r="D294" s="186"/>
      <c r="E294" s="187"/>
      <c r="F294" s="175" t="s">
        <v>900</v>
      </c>
      <c r="G294" s="176">
        <f>SUM(G292:G293)</f>
        <v>0</v>
      </c>
      <c r="H294" s="177" t="e">
        <f t="shared" si="61"/>
        <v>#REF!</v>
      </c>
      <c r="J294" s="125"/>
      <c r="K294" s="176">
        <f>SUM(K292:K293)</f>
        <v>0</v>
      </c>
    </row>
    <row r="295" spans="2:11" ht="18.5" thickBot="1" x14ac:dyDescent="0.4">
      <c r="B295" s="118"/>
      <c r="C295" s="119"/>
      <c r="D295" s="161"/>
      <c r="E295" s="137"/>
      <c r="F295" s="183" t="s">
        <v>901</v>
      </c>
      <c r="G295" s="188">
        <f>SUM(G294)</f>
        <v>0</v>
      </c>
      <c r="H295" s="189" t="e">
        <f t="shared" si="61"/>
        <v>#REF!</v>
      </c>
      <c r="I295" s="163"/>
      <c r="J295" s="190"/>
      <c r="K295" s="188">
        <f>SUM(K294)</f>
        <v>0</v>
      </c>
    </row>
    <row r="296" spans="2:11" ht="16.5" x14ac:dyDescent="0.35">
      <c r="B296" s="182" t="s">
        <v>902</v>
      </c>
      <c r="C296" s="117"/>
      <c r="D296" s="162"/>
      <c r="E296" s="138"/>
      <c r="F296" s="117"/>
      <c r="G296" s="128"/>
      <c r="H296" s="129"/>
      <c r="J296" s="141"/>
      <c r="K296" s="149"/>
    </row>
    <row r="297" spans="2:11" ht="13.5" x14ac:dyDescent="0.25">
      <c r="B297" s="170" t="s">
        <v>409</v>
      </c>
      <c r="C297" s="2" t="s">
        <v>410</v>
      </c>
      <c r="D297" s="179">
        <v>1</v>
      </c>
      <c r="E297" s="172" t="s">
        <v>72</v>
      </c>
      <c r="F297" s="173">
        <v>0</v>
      </c>
      <c r="G297" s="23">
        <f t="shared" ref="G297:G298" si="62">D297*F297</f>
        <v>0</v>
      </c>
      <c r="H297" s="24" t="e">
        <f t="shared" ref="H297:H300" si="63">IF($H$6=0, 0, G297/$H$6)</f>
        <v>#REF!</v>
      </c>
      <c r="J297" s="97"/>
      <c r="K297" s="148">
        <f>Table13546[[#This Row],[Total]]</f>
        <v>0</v>
      </c>
    </row>
    <row r="298" spans="2:11" ht="13.5" x14ac:dyDescent="0.25">
      <c r="B298" s="170" t="s">
        <v>411</v>
      </c>
      <c r="C298" s="2" t="s">
        <v>412</v>
      </c>
      <c r="D298" s="179">
        <v>1</v>
      </c>
      <c r="E298" s="172" t="s">
        <v>72</v>
      </c>
      <c r="F298" s="173">
        <v>0</v>
      </c>
      <c r="G298" s="23">
        <f t="shared" si="62"/>
        <v>0</v>
      </c>
      <c r="H298" s="24" t="e">
        <f t="shared" si="63"/>
        <v>#REF!</v>
      </c>
      <c r="J298" s="97"/>
      <c r="K298" s="148">
        <f>Table13546[[#This Row],[Total]]</f>
        <v>0</v>
      </c>
    </row>
    <row r="299" spans="2:11" s="106" customFormat="1" ht="14" x14ac:dyDescent="0.3">
      <c r="B299" s="184"/>
      <c r="C299" s="185"/>
      <c r="D299" s="186"/>
      <c r="E299" s="187"/>
      <c r="F299" s="175" t="s">
        <v>903</v>
      </c>
      <c r="G299" s="176">
        <f>SUM(G297:G298)</f>
        <v>0</v>
      </c>
      <c r="H299" s="177" t="e">
        <f t="shared" si="63"/>
        <v>#REF!</v>
      </c>
      <c r="J299" s="125"/>
      <c r="K299" s="176">
        <f>SUM(K297:K298)</f>
        <v>0</v>
      </c>
    </row>
    <row r="300" spans="2:11" ht="18.5" thickBot="1" x14ac:dyDescent="0.4">
      <c r="B300" s="118"/>
      <c r="C300" s="119"/>
      <c r="D300" s="161"/>
      <c r="E300" s="137"/>
      <c r="F300" s="183" t="s">
        <v>904</v>
      </c>
      <c r="G300" s="188">
        <f>SUM(G299)</f>
        <v>0</v>
      </c>
      <c r="H300" s="189" t="e">
        <f t="shared" si="63"/>
        <v>#REF!</v>
      </c>
      <c r="I300" s="163"/>
      <c r="J300" s="190"/>
      <c r="K300" s="188">
        <f>SUM(K299)</f>
        <v>0</v>
      </c>
    </row>
    <row r="301" spans="2:11" ht="16.5" x14ac:dyDescent="0.35">
      <c r="B301" s="182" t="s">
        <v>905</v>
      </c>
      <c r="C301" s="117"/>
      <c r="D301" s="162"/>
      <c r="E301" s="138"/>
      <c r="F301" s="117"/>
      <c r="G301" s="128"/>
      <c r="H301" s="129"/>
      <c r="J301" s="141"/>
      <c r="K301" s="149"/>
    </row>
    <row r="302" spans="2:11" ht="13.5" x14ac:dyDescent="0.25">
      <c r="B302" s="170" t="s">
        <v>413</v>
      </c>
      <c r="C302" s="2" t="s">
        <v>414</v>
      </c>
      <c r="D302" s="179">
        <v>1</v>
      </c>
      <c r="E302" s="172" t="s">
        <v>72</v>
      </c>
      <c r="F302" s="173">
        <v>0</v>
      </c>
      <c r="G302" s="23">
        <f t="shared" ref="G302:G305" si="64">D302*F302</f>
        <v>0</v>
      </c>
      <c r="H302" s="24" t="e">
        <f t="shared" ref="H302:H307" si="65">IF($H$6=0, 0, G302/$H$6)</f>
        <v>#REF!</v>
      </c>
      <c r="J302" s="97"/>
      <c r="K302" s="148">
        <f>Table13546[[#This Row],[Total]]</f>
        <v>0</v>
      </c>
    </row>
    <row r="303" spans="2:11" ht="13.5" x14ac:dyDescent="0.25">
      <c r="B303" s="170" t="s">
        <v>415</v>
      </c>
      <c r="C303" s="2" t="s">
        <v>416</v>
      </c>
      <c r="D303" s="179">
        <v>1</v>
      </c>
      <c r="E303" s="172" t="s">
        <v>72</v>
      </c>
      <c r="F303" s="173">
        <v>0</v>
      </c>
      <c r="G303" s="23">
        <f t="shared" si="64"/>
        <v>0</v>
      </c>
      <c r="H303" s="24" t="e">
        <f t="shared" si="65"/>
        <v>#REF!</v>
      </c>
      <c r="J303" s="97"/>
      <c r="K303" s="148">
        <f>Table13546[[#This Row],[Total]]</f>
        <v>0</v>
      </c>
    </row>
    <row r="304" spans="2:11" ht="13.5" x14ac:dyDescent="0.25">
      <c r="B304" s="170" t="s">
        <v>417</v>
      </c>
      <c r="C304" s="2" t="s">
        <v>418</v>
      </c>
      <c r="D304" s="179">
        <v>1</v>
      </c>
      <c r="E304" s="172" t="s">
        <v>72</v>
      </c>
      <c r="F304" s="173">
        <v>0</v>
      </c>
      <c r="G304" s="23">
        <f t="shared" si="64"/>
        <v>0</v>
      </c>
      <c r="H304" s="24" t="e">
        <f t="shared" si="65"/>
        <v>#REF!</v>
      </c>
      <c r="J304" s="97"/>
      <c r="K304" s="148">
        <f>Table13546[[#This Row],[Total]]</f>
        <v>0</v>
      </c>
    </row>
    <row r="305" spans="2:11" ht="13.5" x14ac:dyDescent="0.25">
      <c r="B305" s="170" t="s">
        <v>419</v>
      </c>
      <c r="C305" s="2" t="s">
        <v>420</v>
      </c>
      <c r="D305" s="179">
        <v>0</v>
      </c>
      <c r="E305" s="172" t="s">
        <v>27</v>
      </c>
      <c r="F305" s="173">
        <v>0</v>
      </c>
      <c r="G305" s="23">
        <f t="shared" si="64"/>
        <v>0</v>
      </c>
      <c r="H305" s="24" t="e">
        <f t="shared" si="65"/>
        <v>#REF!</v>
      </c>
      <c r="J305" s="97"/>
      <c r="K305" s="148">
        <f>Table13546[[#This Row],[Total]]</f>
        <v>0</v>
      </c>
    </row>
    <row r="306" spans="2:11" s="106" customFormat="1" ht="14" x14ac:dyDescent="0.3">
      <c r="B306" s="184"/>
      <c r="C306" s="185"/>
      <c r="D306" s="186"/>
      <c r="E306" s="187"/>
      <c r="F306" s="175" t="s">
        <v>906</v>
      </c>
      <c r="G306" s="176">
        <f>SUM(G302:G305)</f>
        <v>0</v>
      </c>
      <c r="H306" s="177" t="e">
        <f t="shared" si="65"/>
        <v>#REF!</v>
      </c>
      <c r="J306" s="125"/>
      <c r="K306" s="176">
        <f>SUM(K302:K305)</f>
        <v>0</v>
      </c>
    </row>
    <row r="307" spans="2:11" ht="18.5" thickBot="1" x14ac:dyDescent="0.4">
      <c r="B307" s="118"/>
      <c r="C307" s="119"/>
      <c r="D307" s="161"/>
      <c r="E307" s="137"/>
      <c r="F307" s="183" t="s">
        <v>907</v>
      </c>
      <c r="G307" s="188">
        <f>SUM(G306)</f>
        <v>0</v>
      </c>
      <c r="H307" s="189" t="e">
        <f t="shared" si="65"/>
        <v>#REF!</v>
      </c>
      <c r="I307" s="163"/>
      <c r="J307" s="190"/>
      <c r="K307" s="188">
        <f>SUM(K306)</f>
        <v>0</v>
      </c>
    </row>
    <row r="308" spans="2:11" ht="16.5" x14ac:dyDescent="0.35">
      <c r="B308" s="182" t="s">
        <v>908</v>
      </c>
      <c r="C308" s="117"/>
      <c r="D308" s="162"/>
      <c r="E308" s="138"/>
      <c r="F308" s="117"/>
      <c r="G308" s="128"/>
      <c r="H308" s="129"/>
      <c r="J308" s="141"/>
      <c r="K308" s="149"/>
    </row>
    <row r="309" spans="2:11" ht="13.5" x14ac:dyDescent="0.25">
      <c r="B309" s="170" t="s">
        <v>421</v>
      </c>
      <c r="C309" s="2" t="s">
        <v>422</v>
      </c>
      <c r="D309" s="179">
        <v>1</v>
      </c>
      <c r="E309" s="172" t="s">
        <v>72</v>
      </c>
      <c r="F309" s="173">
        <v>0</v>
      </c>
      <c r="G309" s="23">
        <f t="shared" ref="G309:G312" si="66">D309*F309</f>
        <v>0</v>
      </c>
      <c r="H309" s="24" t="e">
        <f t="shared" ref="H309:H314" si="67">IF($H$6=0, 0, G309/$H$6)</f>
        <v>#REF!</v>
      </c>
      <c r="J309" s="97"/>
      <c r="K309" s="148">
        <f>Table13546[[#This Row],[Total]]</f>
        <v>0</v>
      </c>
    </row>
    <row r="310" spans="2:11" ht="13.5" x14ac:dyDescent="0.25">
      <c r="B310" s="170" t="s">
        <v>423</v>
      </c>
      <c r="C310" s="2" t="s">
        <v>424</v>
      </c>
      <c r="D310" s="179">
        <v>0</v>
      </c>
      <c r="E310" s="172" t="s">
        <v>72</v>
      </c>
      <c r="F310" s="173">
        <v>0</v>
      </c>
      <c r="G310" s="23">
        <f t="shared" si="66"/>
        <v>0</v>
      </c>
      <c r="H310" s="24" t="e">
        <f t="shared" si="67"/>
        <v>#REF!</v>
      </c>
      <c r="J310" s="97"/>
      <c r="K310" s="148">
        <f>Table13546[[#This Row],[Total]]</f>
        <v>0</v>
      </c>
    </row>
    <row r="311" spans="2:11" ht="13.5" x14ac:dyDescent="0.25">
      <c r="B311" s="170" t="s">
        <v>426</v>
      </c>
      <c r="C311" s="2" t="s">
        <v>427</v>
      </c>
      <c r="D311" s="179">
        <v>0</v>
      </c>
      <c r="E311" s="172" t="s">
        <v>72</v>
      </c>
      <c r="F311" s="173">
        <v>0</v>
      </c>
      <c r="G311" s="23">
        <f t="shared" si="66"/>
        <v>0</v>
      </c>
      <c r="H311" s="24" t="e">
        <f t="shared" si="67"/>
        <v>#REF!</v>
      </c>
      <c r="J311" s="97"/>
      <c r="K311" s="148">
        <f>Table13546[[#This Row],[Total]]</f>
        <v>0</v>
      </c>
    </row>
    <row r="312" spans="2:11" ht="13.5" x14ac:dyDescent="0.25">
      <c r="B312" s="170" t="s">
        <v>428</v>
      </c>
      <c r="C312" s="2" t="s">
        <v>429</v>
      </c>
      <c r="D312" s="179">
        <v>0</v>
      </c>
      <c r="E312" s="172" t="s">
        <v>72</v>
      </c>
      <c r="F312" s="173">
        <v>0</v>
      </c>
      <c r="G312" s="23">
        <f t="shared" si="66"/>
        <v>0</v>
      </c>
      <c r="H312" s="24" t="e">
        <f t="shared" si="67"/>
        <v>#REF!</v>
      </c>
      <c r="J312" s="97"/>
      <c r="K312" s="148">
        <f>Table13546[[#This Row],[Total]]</f>
        <v>0</v>
      </c>
    </row>
    <row r="313" spans="2:11" s="106" customFormat="1" ht="14" x14ac:dyDescent="0.3">
      <c r="B313" s="184"/>
      <c r="C313" s="185"/>
      <c r="D313" s="186"/>
      <c r="E313" s="187"/>
      <c r="F313" s="175" t="s">
        <v>909</v>
      </c>
      <c r="G313" s="176">
        <f>SUM(G309:G312)</f>
        <v>0</v>
      </c>
      <c r="H313" s="177" t="e">
        <f t="shared" si="67"/>
        <v>#REF!</v>
      </c>
      <c r="J313" s="144"/>
      <c r="K313" s="176">
        <f>SUM(K309:K312)</f>
        <v>0</v>
      </c>
    </row>
    <row r="314" spans="2:11" ht="18.5" thickBot="1" x14ac:dyDescent="0.4">
      <c r="B314" s="118"/>
      <c r="C314" s="119"/>
      <c r="D314" s="161"/>
      <c r="E314" s="137"/>
      <c r="F314" s="183" t="s">
        <v>910</v>
      </c>
      <c r="G314" s="188">
        <f>SUM(G313)</f>
        <v>0</v>
      </c>
      <c r="H314" s="189" t="e">
        <f t="shared" si="67"/>
        <v>#REF!</v>
      </c>
      <c r="I314" s="163"/>
      <c r="J314" s="190"/>
      <c r="K314" s="188">
        <f>SUM(K313)</f>
        <v>0</v>
      </c>
    </row>
    <row r="315" spans="2:11" ht="16.5" x14ac:dyDescent="0.35">
      <c r="B315" s="182" t="s">
        <v>911</v>
      </c>
      <c r="C315" s="117"/>
      <c r="D315" s="162"/>
      <c r="E315" s="138"/>
      <c r="F315" s="117"/>
      <c r="G315" s="128"/>
      <c r="H315" s="129"/>
      <c r="J315" s="141"/>
      <c r="K315" s="149"/>
    </row>
    <row r="316" spans="2:11" ht="13.5" x14ac:dyDescent="0.25">
      <c r="B316" s="170" t="s">
        <v>430</v>
      </c>
      <c r="C316" s="2" t="s">
        <v>431</v>
      </c>
      <c r="D316" s="179">
        <v>1</v>
      </c>
      <c r="E316" s="172" t="s">
        <v>72</v>
      </c>
      <c r="F316" s="173">
        <v>0</v>
      </c>
      <c r="G316" s="23">
        <f t="shared" ref="G316:G332" si="68">D316*F316</f>
        <v>0</v>
      </c>
      <c r="H316" s="24" t="e">
        <f t="shared" ref="H316:H334" si="69">IF($H$6=0, 0, G316/$H$6)</f>
        <v>#REF!</v>
      </c>
      <c r="J316" s="97"/>
      <c r="K316" s="148">
        <f>Table13546[[#This Row],[Total]]</f>
        <v>0</v>
      </c>
    </row>
    <row r="317" spans="2:11" ht="13.5" x14ac:dyDescent="0.25">
      <c r="B317" s="170" t="s">
        <v>430</v>
      </c>
      <c r="C317" s="2" t="s">
        <v>912</v>
      </c>
      <c r="D317" s="179">
        <v>4635.4544444444437</v>
      </c>
      <c r="E317" s="172" t="s">
        <v>309</v>
      </c>
      <c r="F317" s="173">
        <v>0</v>
      </c>
      <c r="G317" s="23">
        <f t="shared" si="68"/>
        <v>0</v>
      </c>
      <c r="H317" s="24" t="e">
        <f t="shared" si="69"/>
        <v>#REF!</v>
      </c>
      <c r="J317" s="97"/>
      <c r="K317" s="148">
        <f>Table13546[[#This Row],[Total]]</f>
        <v>0</v>
      </c>
    </row>
    <row r="318" spans="2:11" ht="13.5" x14ac:dyDescent="0.25">
      <c r="B318" s="170" t="s">
        <v>430</v>
      </c>
      <c r="C318" s="2" t="s">
        <v>432</v>
      </c>
      <c r="D318" s="179">
        <v>2414.3944444444442</v>
      </c>
      <c r="E318" s="172" t="s">
        <v>309</v>
      </c>
      <c r="F318" s="173">
        <v>0</v>
      </c>
      <c r="G318" s="23">
        <f t="shared" si="68"/>
        <v>0</v>
      </c>
      <c r="H318" s="24" t="e">
        <f t="shared" si="69"/>
        <v>#REF!</v>
      </c>
      <c r="J318" s="97"/>
      <c r="K318" s="148">
        <f>Table13546[[#This Row],[Total]]</f>
        <v>0</v>
      </c>
    </row>
    <row r="319" spans="2:11" ht="13.5" x14ac:dyDescent="0.25">
      <c r="B319" s="170" t="s">
        <v>433</v>
      </c>
      <c r="C319" s="2" t="s">
        <v>434</v>
      </c>
      <c r="D319" s="179">
        <v>0</v>
      </c>
      <c r="E319" s="172" t="s">
        <v>72</v>
      </c>
      <c r="F319" s="173">
        <v>0</v>
      </c>
      <c r="G319" s="23">
        <f t="shared" si="68"/>
        <v>0</v>
      </c>
      <c r="H319" s="24" t="e">
        <f t="shared" si="69"/>
        <v>#REF!</v>
      </c>
      <c r="J319" s="97"/>
      <c r="K319" s="148">
        <f>Table13546[[#This Row],[Total]]</f>
        <v>0</v>
      </c>
    </row>
    <row r="320" spans="2:11" ht="13.5" x14ac:dyDescent="0.25">
      <c r="B320" s="170" t="s">
        <v>435</v>
      </c>
      <c r="C320" s="2" t="s">
        <v>436</v>
      </c>
      <c r="D320" s="179">
        <v>0</v>
      </c>
      <c r="E320" s="172" t="s">
        <v>72</v>
      </c>
      <c r="F320" s="173">
        <v>0</v>
      </c>
      <c r="G320" s="23">
        <f t="shared" si="68"/>
        <v>0</v>
      </c>
      <c r="H320" s="24" t="e">
        <f t="shared" si="69"/>
        <v>#REF!</v>
      </c>
      <c r="J320" s="97"/>
      <c r="K320" s="148">
        <f>Table13546[[#This Row],[Total]]</f>
        <v>0</v>
      </c>
    </row>
    <row r="321" spans="2:11" ht="13.5" x14ac:dyDescent="0.25">
      <c r="B321" s="170" t="s">
        <v>437</v>
      </c>
      <c r="C321" s="2" t="s">
        <v>438</v>
      </c>
      <c r="D321" s="179">
        <v>0</v>
      </c>
      <c r="E321" s="172" t="s">
        <v>72</v>
      </c>
      <c r="F321" s="173">
        <v>0</v>
      </c>
      <c r="G321" s="23">
        <f t="shared" si="68"/>
        <v>0</v>
      </c>
      <c r="H321" s="24" t="e">
        <f t="shared" si="69"/>
        <v>#REF!</v>
      </c>
      <c r="J321" s="97"/>
      <c r="K321" s="148">
        <f>Table13546[[#This Row],[Total]]</f>
        <v>0</v>
      </c>
    </row>
    <row r="322" spans="2:11" ht="13.5" x14ac:dyDescent="0.25">
      <c r="B322" s="170" t="s">
        <v>439</v>
      </c>
      <c r="C322" s="2" t="s">
        <v>440</v>
      </c>
      <c r="D322" s="179">
        <v>0</v>
      </c>
      <c r="E322" s="172" t="s">
        <v>72</v>
      </c>
      <c r="F322" s="173">
        <v>0</v>
      </c>
      <c r="G322" s="23">
        <f t="shared" si="68"/>
        <v>0</v>
      </c>
      <c r="H322" s="24" t="e">
        <f t="shared" si="69"/>
        <v>#REF!</v>
      </c>
      <c r="J322" s="97"/>
      <c r="K322" s="148">
        <f>Table13546[[#This Row],[Total]]</f>
        <v>0</v>
      </c>
    </row>
    <row r="323" spans="2:11" ht="13.5" x14ac:dyDescent="0.25">
      <c r="B323" s="170" t="s">
        <v>441</v>
      </c>
      <c r="C323" s="2" t="s">
        <v>442</v>
      </c>
      <c r="D323" s="179">
        <v>1</v>
      </c>
      <c r="E323" s="172" t="s">
        <v>72</v>
      </c>
      <c r="F323" s="173">
        <v>0</v>
      </c>
      <c r="G323" s="23">
        <f t="shared" si="68"/>
        <v>0</v>
      </c>
      <c r="H323" s="24" t="e">
        <f t="shared" si="69"/>
        <v>#REF!</v>
      </c>
      <c r="J323" s="97"/>
      <c r="K323" s="148">
        <f>Table13546[[#This Row],[Total]]</f>
        <v>0</v>
      </c>
    </row>
    <row r="324" spans="2:11" ht="13.5" x14ac:dyDescent="0.25">
      <c r="B324" s="170" t="s">
        <v>433</v>
      </c>
      <c r="C324" s="2" t="s">
        <v>443</v>
      </c>
      <c r="D324" s="179">
        <v>1230.26</v>
      </c>
      <c r="E324" s="172" t="s">
        <v>23</v>
      </c>
      <c r="F324" s="173">
        <v>0</v>
      </c>
      <c r="G324" s="23">
        <f t="shared" si="68"/>
        <v>0</v>
      </c>
      <c r="H324" s="24" t="e">
        <f t="shared" si="69"/>
        <v>#REF!</v>
      </c>
      <c r="J324" s="97"/>
      <c r="K324" s="148">
        <f>Table13546[[#This Row],[Total]]</f>
        <v>0</v>
      </c>
    </row>
    <row r="325" spans="2:11" ht="13.5" x14ac:dyDescent="0.25">
      <c r="B325" s="170" t="s">
        <v>433</v>
      </c>
      <c r="C325" s="2" t="s">
        <v>444</v>
      </c>
      <c r="D325" s="179">
        <v>1456.67</v>
      </c>
      <c r="E325" s="172" t="s">
        <v>23</v>
      </c>
      <c r="F325" s="173">
        <v>0</v>
      </c>
      <c r="G325" s="23">
        <f t="shared" si="68"/>
        <v>0</v>
      </c>
      <c r="H325" s="24" t="e">
        <f t="shared" si="69"/>
        <v>#REF!</v>
      </c>
      <c r="J325" s="97"/>
      <c r="K325" s="148">
        <f>Table13546[[#This Row],[Total]]</f>
        <v>0</v>
      </c>
    </row>
    <row r="326" spans="2:11" ht="13.5" x14ac:dyDescent="0.25">
      <c r="B326" s="170" t="s">
        <v>433</v>
      </c>
      <c r="C326" s="2" t="s">
        <v>445</v>
      </c>
      <c r="D326" s="179">
        <v>267</v>
      </c>
      <c r="E326" s="172" t="s">
        <v>23</v>
      </c>
      <c r="F326" s="173">
        <v>0</v>
      </c>
      <c r="G326" s="23">
        <f t="shared" si="68"/>
        <v>0</v>
      </c>
      <c r="H326" s="24" t="e">
        <f t="shared" si="69"/>
        <v>#REF!</v>
      </c>
      <c r="J326" s="97"/>
      <c r="K326" s="148">
        <f>Table13546[[#This Row],[Total]]</f>
        <v>0</v>
      </c>
    </row>
    <row r="327" spans="2:11" ht="13.5" x14ac:dyDescent="0.25">
      <c r="B327" s="170" t="s">
        <v>433</v>
      </c>
      <c r="C327" s="2" t="s">
        <v>446</v>
      </c>
      <c r="D327" s="179">
        <v>5140.3</v>
      </c>
      <c r="E327" s="172" t="s">
        <v>27</v>
      </c>
      <c r="F327" s="173">
        <v>0</v>
      </c>
      <c r="G327" s="23">
        <f t="shared" si="68"/>
        <v>0</v>
      </c>
      <c r="H327" s="24" t="e">
        <f t="shared" si="69"/>
        <v>#REF!</v>
      </c>
      <c r="J327" s="97"/>
      <c r="K327" s="148">
        <f>Table13546[[#This Row],[Total]]</f>
        <v>0</v>
      </c>
    </row>
    <row r="328" spans="2:11" ht="13.5" x14ac:dyDescent="0.25">
      <c r="B328" s="170" t="s">
        <v>433</v>
      </c>
      <c r="C328" s="2" t="s">
        <v>447</v>
      </c>
      <c r="D328" s="179">
        <v>1188.9100000000001</v>
      </c>
      <c r="E328" s="172" t="s">
        <v>27</v>
      </c>
      <c r="F328" s="173">
        <v>0</v>
      </c>
      <c r="G328" s="23">
        <f t="shared" si="68"/>
        <v>0</v>
      </c>
      <c r="H328" s="24" t="e">
        <f t="shared" si="69"/>
        <v>#REF!</v>
      </c>
      <c r="J328" s="97"/>
      <c r="K328" s="148">
        <f>Table13546[[#This Row],[Total]]</f>
        <v>0</v>
      </c>
    </row>
    <row r="329" spans="2:11" ht="13.5" x14ac:dyDescent="0.25">
      <c r="B329" s="170" t="s">
        <v>449</v>
      </c>
      <c r="C329" s="2" t="s">
        <v>450</v>
      </c>
      <c r="D329" s="179">
        <v>1</v>
      </c>
      <c r="E329" s="172" t="s">
        <v>72</v>
      </c>
      <c r="F329" s="173">
        <v>0</v>
      </c>
      <c r="G329" s="23">
        <f t="shared" si="68"/>
        <v>0</v>
      </c>
      <c r="H329" s="24" t="e">
        <f t="shared" si="69"/>
        <v>#REF!</v>
      </c>
      <c r="J329" s="97"/>
      <c r="K329" s="148">
        <f>Table13546[[#This Row],[Total]]</f>
        <v>0</v>
      </c>
    </row>
    <row r="330" spans="2:11" ht="13.5" x14ac:dyDescent="0.25">
      <c r="B330" s="170" t="s">
        <v>451</v>
      </c>
      <c r="C330" s="2" t="s">
        <v>913</v>
      </c>
      <c r="D330" s="179">
        <v>1</v>
      </c>
      <c r="E330" s="172" t="s">
        <v>72</v>
      </c>
      <c r="F330" s="173">
        <v>0</v>
      </c>
      <c r="G330" s="23">
        <f t="shared" si="68"/>
        <v>0</v>
      </c>
      <c r="H330" s="24" t="e">
        <f t="shared" si="69"/>
        <v>#REF!</v>
      </c>
      <c r="J330" s="97"/>
      <c r="K330" s="148">
        <f>Table13546[[#This Row],[Total]]</f>
        <v>0</v>
      </c>
    </row>
    <row r="331" spans="2:11" ht="13.5" x14ac:dyDescent="0.25">
      <c r="B331" s="170" t="s">
        <v>453</v>
      </c>
      <c r="C331" s="2" t="s">
        <v>454</v>
      </c>
      <c r="D331" s="179">
        <v>0</v>
      </c>
      <c r="E331" s="172" t="s">
        <v>72</v>
      </c>
      <c r="F331" s="173">
        <v>0</v>
      </c>
      <c r="G331" s="23">
        <f t="shared" si="68"/>
        <v>0</v>
      </c>
      <c r="H331" s="24" t="e">
        <f t="shared" si="69"/>
        <v>#REF!</v>
      </c>
      <c r="J331" s="97"/>
      <c r="K331" s="148">
        <f>Table13546[[#This Row],[Total]]</f>
        <v>0</v>
      </c>
    </row>
    <row r="332" spans="2:11" ht="13.5" x14ac:dyDescent="0.25">
      <c r="B332" s="170" t="s">
        <v>455</v>
      </c>
      <c r="C332" s="2" t="s">
        <v>456</v>
      </c>
      <c r="D332" s="179">
        <v>1</v>
      </c>
      <c r="E332" s="172" t="s">
        <v>72</v>
      </c>
      <c r="F332" s="173">
        <v>0</v>
      </c>
      <c r="G332" s="23">
        <f t="shared" si="68"/>
        <v>0</v>
      </c>
      <c r="H332" s="24" t="e">
        <f t="shared" si="69"/>
        <v>#REF!</v>
      </c>
      <c r="J332" s="97"/>
      <c r="K332" s="148">
        <f>Table13546[[#This Row],[Total]]</f>
        <v>0</v>
      </c>
    </row>
    <row r="333" spans="2:11" s="106" customFormat="1" ht="14" x14ac:dyDescent="0.3">
      <c r="B333" s="184"/>
      <c r="C333" s="185"/>
      <c r="D333" s="186"/>
      <c r="E333" s="187"/>
      <c r="F333" s="175" t="s">
        <v>914</v>
      </c>
      <c r="G333" s="176">
        <f>SUM(G316:G332)</f>
        <v>0</v>
      </c>
      <c r="H333" s="177" t="e">
        <f t="shared" si="69"/>
        <v>#REF!</v>
      </c>
      <c r="J333" s="144"/>
      <c r="K333" s="176">
        <f>SUM(K316:K332)</f>
        <v>0</v>
      </c>
    </row>
    <row r="334" spans="2:11" ht="18.5" thickBot="1" x14ac:dyDescent="0.4">
      <c r="B334" s="118"/>
      <c r="C334" s="119"/>
      <c r="D334" s="161"/>
      <c r="E334" s="137"/>
      <c r="F334" s="183" t="s">
        <v>915</v>
      </c>
      <c r="G334" s="188">
        <f>SUM(G333)</f>
        <v>0</v>
      </c>
      <c r="H334" s="189" t="e">
        <f t="shared" si="69"/>
        <v>#REF!</v>
      </c>
      <c r="I334" s="163"/>
      <c r="J334" s="190"/>
      <c r="K334" s="188">
        <f>SUM(K333)</f>
        <v>0</v>
      </c>
    </row>
    <row r="335" spans="2:11" ht="16.5" x14ac:dyDescent="0.35">
      <c r="B335" s="182" t="s">
        <v>916</v>
      </c>
      <c r="C335" s="117"/>
      <c r="D335" s="162"/>
      <c r="E335" s="138"/>
      <c r="F335" s="117"/>
      <c r="G335" s="128"/>
      <c r="H335" s="129"/>
      <c r="J335" s="141"/>
      <c r="K335" s="149"/>
    </row>
    <row r="336" spans="2:11" ht="13.5" x14ac:dyDescent="0.25">
      <c r="B336" s="170" t="s">
        <v>457</v>
      </c>
      <c r="C336" s="2" t="s">
        <v>458</v>
      </c>
      <c r="D336" s="179">
        <v>1</v>
      </c>
      <c r="E336" s="172" t="s">
        <v>72</v>
      </c>
      <c r="F336" s="173">
        <v>0</v>
      </c>
      <c r="G336" s="23">
        <f t="shared" ref="G336:G339" si="70">D336*F336</f>
        <v>0</v>
      </c>
      <c r="H336" s="24" t="e">
        <f t="shared" ref="H336:H341" si="71">IF($H$6=0, 0, G336/$H$6)</f>
        <v>#REF!</v>
      </c>
      <c r="J336" s="97"/>
      <c r="K336" s="148">
        <f>Table13546[[#This Row],[Total]]</f>
        <v>0</v>
      </c>
    </row>
    <row r="337" spans="2:11" ht="13.5" x14ac:dyDescent="0.25">
      <c r="B337" s="170" t="s">
        <v>457</v>
      </c>
      <c r="C337" s="2" t="s">
        <v>459</v>
      </c>
      <c r="D337" s="179">
        <v>465</v>
      </c>
      <c r="E337" s="172" t="s">
        <v>23</v>
      </c>
      <c r="F337" s="173">
        <v>0</v>
      </c>
      <c r="G337" s="23">
        <f t="shared" si="70"/>
        <v>0</v>
      </c>
      <c r="H337" s="24" t="e">
        <f t="shared" si="71"/>
        <v>#REF!</v>
      </c>
      <c r="J337" s="97"/>
      <c r="K337" s="148">
        <f>Table13546[[#This Row],[Total]]</f>
        <v>0</v>
      </c>
    </row>
    <row r="338" spans="2:11" ht="13.5" x14ac:dyDescent="0.25">
      <c r="B338" s="170" t="s">
        <v>457</v>
      </c>
      <c r="C338" s="2" t="s">
        <v>460</v>
      </c>
      <c r="D338" s="179">
        <v>60</v>
      </c>
      <c r="E338" s="172" t="s">
        <v>23</v>
      </c>
      <c r="F338" s="173">
        <v>0</v>
      </c>
      <c r="G338" s="23">
        <f t="shared" si="70"/>
        <v>0</v>
      </c>
      <c r="H338" s="24" t="e">
        <f t="shared" si="71"/>
        <v>#REF!</v>
      </c>
      <c r="J338" s="97"/>
      <c r="K338" s="148">
        <f>Table13546[[#This Row],[Total]]</f>
        <v>0</v>
      </c>
    </row>
    <row r="339" spans="2:11" ht="13.5" x14ac:dyDescent="0.25">
      <c r="B339" s="170" t="s">
        <v>457</v>
      </c>
      <c r="C339" s="2" t="s">
        <v>917</v>
      </c>
      <c r="D339" s="179">
        <v>282</v>
      </c>
      <c r="E339" s="172" t="s">
        <v>23</v>
      </c>
      <c r="F339" s="173">
        <v>0</v>
      </c>
      <c r="G339" s="23">
        <f t="shared" si="70"/>
        <v>0</v>
      </c>
      <c r="H339" s="24" t="e">
        <f t="shared" si="71"/>
        <v>#REF!</v>
      </c>
      <c r="J339" s="97"/>
      <c r="K339" s="148">
        <f>Table13546[[#This Row],[Total]]</f>
        <v>0</v>
      </c>
    </row>
    <row r="340" spans="2:11" s="106" customFormat="1" ht="14" x14ac:dyDescent="0.3">
      <c r="B340" s="184"/>
      <c r="C340" s="185"/>
      <c r="D340" s="186"/>
      <c r="E340" s="187"/>
      <c r="F340" s="175" t="s">
        <v>918</v>
      </c>
      <c r="G340" s="176">
        <f>SUM(G336:G339)</f>
        <v>0</v>
      </c>
      <c r="H340" s="177" t="e">
        <f t="shared" si="71"/>
        <v>#REF!</v>
      </c>
      <c r="J340" s="144"/>
      <c r="K340" s="176">
        <f>SUM(K336:K339)</f>
        <v>0</v>
      </c>
    </row>
    <row r="341" spans="2:11" ht="18.5" thickBot="1" x14ac:dyDescent="0.4">
      <c r="B341" s="118"/>
      <c r="C341" s="119"/>
      <c r="D341" s="161"/>
      <c r="E341" s="137"/>
      <c r="F341" s="183" t="s">
        <v>919</v>
      </c>
      <c r="G341" s="188">
        <f>SUM(G340)</f>
        <v>0</v>
      </c>
      <c r="H341" s="189" t="e">
        <f t="shared" si="71"/>
        <v>#REF!</v>
      </c>
      <c r="I341" s="163"/>
      <c r="J341" s="190"/>
      <c r="K341" s="188">
        <f>SUM(K340)</f>
        <v>0</v>
      </c>
    </row>
    <row r="342" spans="2:11" ht="16.5" x14ac:dyDescent="0.35">
      <c r="B342" s="182" t="s">
        <v>920</v>
      </c>
      <c r="C342" s="117"/>
      <c r="D342" s="162"/>
      <c r="E342" s="138"/>
      <c r="F342" s="117"/>
      <c r="G342" s="128"/>
      <c r="H342" s="129"/>
      <c r="J342" s="141"/>
      <c r="K342" s="149"/>
    </row>
    <row r="343" spans="2:11" ht="13.5" x14ac:dyDescent="0.25">
      <c r="B343" s="170" t="s">
        <v>461</v>
      </c>
      <c r="C343" s="2"/>
      <c r="D343" s="179"/>
      <c r="E343" s="172"/>
      <c r="F343" s="173">
        <v>0</v>
      </c>
      <c r="G343" s="23">
        <f t="shared" ref="G343" si="72">D343*F343</f>
        <v>0</v>
      </c>
      <c r="H343" s="24" t="e">
        <f t="shared" ref="H343:H345" si="73">IF($H$6=0, 0, G343/$H$6)</f>
        <v>#REF!</v>
      </c>
      <c r="J343" s="97"/>
      <c r="K343" s="148">
        <f>Table13546[[#This Row],[Total]]</f>
        <v>0</v>
      </c>
    </row>
    <row r="344" spans="2:11" s="106" customFormat="1" ht="14" x14ac:dyDescent="0.3">
      <c r="B344" s="184"/>
      <c r="C344" s="185"/>
      <c r="D344" s="186"/>
      <c r="E344" s="187"/>
      <c r="F344" s="175" t="s">
        <v>921</v>
      </c>
      <c r="G344" s="176">
        <f>SUM(G343)</f>
        <v>0</v>
      </c>
      <c r="H344" s="177" t="e">
        <f t="shared" si="73"/>
        <v>#REF!</v>
      </c>
      <c r="J344" s="144"/>
      <c r="K344" s="176">
        <f>SUM(K343)</f>
        <v>0</v>
      </c>
    </row>
    <row r="345" spans="2:11" ht="16.5" thickBot="1" x14ac:dyDescent="0.4">
      <c r="B345" s="203"/>
      <c r="C345" s="183"/>
      <c r="D345" s="204"/>
      <c r="E345" s="205"/>
      <c r="F345" s="183" t="s">
        <v>922</v>
      </c>
      <c r="G345" s="188">
        <f>SUM(G344)</f>
        <v>0</v>
      </c>
      <c r="H345" s="189" t="e">
        <f t="shared" si="73"/>
        <v>#REF!</v>
      </c>
      <c r="I345" s="163"/>
      <c r="J345" s="190"/>
      <c r="K345" s="188">
        <f>SUM(K344)</f>
        <v>0</v>
      </c>
    </row>
    <row r="346" spans="2:11" ht="16.5" x14ac:dyDescent="0.35">
      <c r="B346" s="182" t="s">
        <v>923</v>
      </c>
      <c r="C346" s="117"/>
      <c r="D346" s="162"/>
      <c r="E346" s="138"/>
      <c r="F346" s="117"/>
      <c r="G346" s="128"/>
      <c r="H346" s="129"/>
      <c r="J346" s="141"/>
      <c r="K346" s="149"/>
    </row>
    <row r="347" spans="2:11" ht="14" x14ac:dyDescent="0.3">
      <c r="B347" s="184"/>
      <c r="C347" s="185"/>
      <c r="D347" s="186"/>
      <c r="E347" s="187"/>
      <c r="F347" s="175" t="s">
        <v>924</v>
      </c>
      <c r="G347" s="176">
        <f>SUM(G87,G107,G113,G123,G141,G172,G191,G216,G240,G250,G261,G268,G275,G280,G285,G290,G295,G300,G307,G314,G334,G341,G345)</f>
        <v>10</v>
      </c>
      <c r="H347" s="177"/>
      <c r="I347" s="106"/>
      <c r="J347" s="144"/>
      <c r="K347" s="176"/>
    </row>
    <row r="348" spans="2:11" ht="14" x14ac:dyDescent="0.3">
      <c r="B348" s="184"/>
      <c r="C348" s="185"/>
      <c r="D348" s="186"/>
      <c r="E348" s="187"/>
      <c r="F348" s="175" t="s">
        <v>205</v>
      </c>
      <c r="G348" s="176" t="e">
        <f>SUM(G43)</f>
        <v>#REF!</v>
      </c>
      <c r="H348" s="177"/>
      <c r="I348" s="106"/>
      <c r="J348" s="144"/>
      <c r="K348" s="176"/>
    </row>
    <row r="349" spans="2:11" ht="16.5" thickBot="1" x14ac:dyDescent="0.4">
      <c r="B349" s="203"/>
      <c r="C349" s="183"/>
      <c r="D349" s="204"/>
      <c r="E349" s="205"/>
      <c r="F349" s="183" t="s">
        <v>925</v>
      </c>
      <c r="G349" s="188" t="e">
        <f>SUM(G347:G348)</f>
        <v>#REF!</v>
      </c>
      <c r="H349" s="189"/>
      <c r="I349" s="163"/>
      <c r="J349" s="190"/>
      <c r="K349" s="188"/>
    </row>
    <row r="350" spans="2:11" ht="16.5" x14ac:dyDescent="0.35">
      <c r="B350" s="182" t="s">
        <v>926</v>
      </c>
      <c r="C350" s="117"/>
      <c r="D350" s="162"/>
      <c r="E350" s="138"/>
      <c r="F350" s="117"/>
      <c r="G350" s="128"/>
      <c r="H350" s="129"/>
      <c r="J350" s="141"/>
      <c r="K350" s="149"/>
    </row>
    <row r="351" spans="2:11" ht="13.5" x14ac:dyDescent="0.25">
      <c r="B351" s="170" t="s">
        <v>468</v>
      </c>
      <c r="C351" s="2" t="s">
        <v>13</v>
      </c>
      <c r="D351" s="6" t="e">
        <f>#REF!</f>
        <v>#REF!</v>
      </c>
      <c r="E351" s="172"/>
      <c r="F351" s="173">
        <v>0</v>
      </c>
      <c r="G351" s="23" t="e">
        <f>Table13546[[#This Row],[Quantity]]*G349</f>
        <v>#REF!</v>
      </c>
      <c r="H351" s="24" t="e">
        <f t="shared" ref="H351:H359" si="74">IF($H$6=0, 0, G351/$H$6)</f>
        <v>#REF!</v>
      </c>
      <c r="J351" s="97"/>
      <c r="K351" s="148" t="e">
        <f>Table13546[[#This Row],[Total]]</f>
        <v>#REF!</v>
      </c>
    </row>
    <row r="352" spans="2:11" ht="13.5" x14ac:dyDescent="0.25">
      <c r="B352" s="170" t="s">
        <v>469</v>
      </c>
      <c r="C352" s="2" t="s">
        <v>14</v>
      </c>
      <c r="D352" s="6" t="e">
        <f>#REF!</f>
        <v>#REF!</v>
      </c>
      <c r="E352" s="172"/>
      <c r="F352" s="173">
        <v>0</v>
      </c>
      <c r="G352" s="23" t="e">
        <f>Table13546[[#This Row],[Quantity]]*G349</f>
        <v>#REF!</v>
      </c>
      <c r="H352" s="24" t="e">
        <f t="shared" si="74"/>
        <v>#REF!</v>
      </c>
      <c r="J352" s="97"/>
      <c r="K352" s="148" t="e">
        <f>Table13546[[#This Row],[Total]]</f>
        <v>#REF!</v>
      </c>
    </row>
    <row r="353" spans="2:11" ht="13.5" x14ac:dyDescent="0.25">
      <c r="B353" s="170" t="s">
        <v>470</v>
      </c>
      <c r="C353" s="2" t="s">
        <v>15</v>
      </c>
      <c r="D353" s="6" t="e">
        <f>#REF!</f>
        <v>#REF!</v>
      </c>
      <c r="E353" s="172"/>
      <c r="F353" s="173">
        <v>0</v>
      </c>
      <c r="G353" s="23" t="e">
        <f>Table13546[[#This Row],[Quantity]]*G349</f>
        <v>#REF!</v>
      </c>
      <c r="H353" s="24" t="e">
        <f t="shared" si="74"/>
        <v>#REF!</v>
      </c>
      <c r="J353" s="97"/>
      <c r="K353" s="148" t="e">
        <f>Table13546[[#This Row],[Total]]</f>
        <v>#REF!</v>
      </c>
    </row>
    <row r="354" spans="2:11" ht="13.5" x14ac:dyDescent="0.25">
      <c r="B354" s="170" t="s">
        <v>471</v>
      </c>
      <c r="C354" s="2" t="s">
        <v>16</v>
      </c>
      <c r="D354" s="6" t="e">
        <f>#REF!</f>
        <v>#REF!</v>
      </c>
      <c r="E354" s="172"/>
      <c r="F354" s="173">
        <v>0</v>
      </c>
      <c r="G354" s="23" t="e">
        <f>Table13546[[#This Row],[Quantity]]*G349</f>
        <v>#REF!</v>
      </c>
      <c r="H354" s="24" t="e">
        <f t="shared" si="74"/>
        <v>#REF!</v>
      </c>
      <c r="J354" s="97"/>
      <c r="K354" s="148" t="e">
        <f>Table13546[[#This Row],[Total]]</f>
        <v>#REF!</v>
      </c>
    </row>
    <row r="355" spans="2:11" ht="13.5" x14ac:dyDescent="0.25">
      <c r="B355" s="170" t="s">
        <v>472</v>
      </c>
      <c r="C355" s="2" t="s">
        <v>17</v>
      </c>
      <c r="D355" s="6" t="e">
        <f>#REF!</f>
        <v>#REF!</v>
      </c>
      <c r="E355" s="172"/>
      <c r="F355" s="173">
        <v>0</v>
      </c>
      <c r="G355" s="23" t="e">
        <f>Table13546[[#This Row],[Quantity]]*G349</f>
        <v>#REF!</v>
      </c>
      <c r="H355" s="24" t="e">
        <f t="shared" si="74"/>
        <v>#REF!</v>
      </c>
      <c r="J355" s="97"/>
      <c r="K355" s="148" t="e">
        <f>Table13546[[#This Row],[Total]]</f>
        <v>#REF!</v>
      </c>
    </row>
    <row r="356" spans="2:11" ht="13.5" x14ac:dyDescent="0.25">
      <c r="B356" s="170" t="s">
        <v>473</v>
      </c>
      <c r="C356" s="2" t="s">
        <v>18</v>
      </c>
      <c r="D356" s="6" t="e">
        <f>#REF!</f>
        <v>#REF!</v>
      </c>
      <c r="E356" s="172"/>
      <c r="F356" s="173">
        <v>0</v>
      </c>
      <c r="G356" s="23" t="e">
        <f>Table13546[[#This Row],[Quantity]]*G349</f>
        <v>#REF!</v>
      </c>
      <c r="H356" s="24" t="e">
        <f t="shared" si="74"/>
        <v>#REF!</v>
      </c>
      <c r="J356" s="97"/>
      <c r="K356" s="148" t="e">
        <f>Table13546[[#This Row],[Total]]</f>
        <v>#REF!</v>
      </c>
    </row>
    <row r="357" spans="2:11" ht="13.5" x14ac:dyDescent="0.25">
      <c r="B357" s="170" t="s">
        <v>474</v>
      </c>
      <c r="C357" s="2" t="s">
        <v>19</v>
      </c>
      <c r="D357" s="6" t="e">
        <f>#REF!</f>
        <v>#REF!</v>
      </c>
      <c r="E357" s="172"/>
      <c r="F357" s="173">
        <v>0</v>
      </c>
      <c r="G357" s="23" t="e">
        <f>Table13546[[#This Row],[Quantity]]*G349</f>
        <v>#REF!</v>
      </c>
      <c r="H357" s="24" t="e">
        <f t="shared" si="74"/>
        <v>#REF!</v>
      </c>
      <c r="J357" s="97"/>
      <c r="K357" s="148" t="e">
        <f>Table13546[[#This Row],[Total]]</f>
        <v>#REF!</v>
      </c>
    </row>
    <row r="358" spans="2:11" s="106" customFormat="1" ht="14" x14ac:dyDescent="0.3">
      <c r="B358" s="184"/>
      <c r="C358" s="185"/>
      <c r="D358" s="186"/>
      <c r="E358" s="187"/>
      <c r="F358" s="175" t="s">
        <v>927</v>
      </c>
      <c r="G358" s="176" t="e">
        <f>SUM(G351:G357)</f>
        <v>#REF!</v>
      </c>
      <c r="H358" s="177" t="e">
        <f t="shared" si="74"/>
        <v>#REF!</v>
      </c>
      <c r="J358" s="144"/>
      <c r="K358" s="176" t="e">
        <f>SUM(K351:K357)</f>
        <v>#REF!</v>
      </c>
    </row>
    <row r="359" spans="2:11" ht="16.5" thickBot="1" x14ac:dyDescent="0.4">
      <c r="B359" s="203"/>
      <c r="C359" s="183"/>
      <c r="D359" s="204"/>
      <c r="E359" s="205"/>
      <c r="F359" s="183" t="s">
        <v>928</v>
      </c>
      <c r="G359" s="188" t="e">
        <f>G358</f>
        <v>#REF!</v>
      </c>
      <c r="H359" s="189" t="e">
        <f t="shared" si="74"/>
        <v>#REF!</v>
      </c>
      <c r="I359" s="163"/>
      <c r="J359" s="190"/>
      <c r="K359" s="191" t="e">
        <f>SUM(K358)</f>
        <v>#REF!</v>
      </c>
    </row>
    <row r="360" spans="2:11" ht="18.5" thickBot="1" x14ac:dyDescent="0.4">
      <c r="B360" s="194"/>
      <c r="C360" s="195"/>
      <c r="D360" s="196"/>
      <c r="E360" s="197"/>
      <c r="F360" s="198"/>
      <c r="G360" s="199"/>
      <c r="H360" s="200"/>
      <c r="I360" s="201"/>
      <c r="J360" s="202"/>
      <c r="K360" s="199"/>
    </row>
    <row r="361" spans="2:11" ht="16.5" x14ac:dyDescent="0.35">
      <c r="B361" s="182" t="s">
        <v>929</v>
      </c>
      <c r="C361" s="117"/>
      <c r="D361" s="162"/>
      <c r="E361" s="138"/>
      <c r="F361" s="117"/>
      <c r="G361" s="128"/>
      <c r="H361" s="129"/>
      <c r="J361" s="141"/>
      <c r="K361" s="149"/>
    </row>
    <row r="362" spans="2:11" ht="14" x14ac:dyDescent="0.3">
      <c r="B362" s="184"/>
      <c r="C362" s="185"/>
      <c r="D362" s="186"/>
      <c r="E362" s="187"/>
      <c r="F362" s="175"/>
      <c r="G362" s="176"/>
      <c r="H362" s="177"/>
      <c r="I362" s="106"/>
      <c r="J362" s="144"/>
      <c r="K362" s="176"/>
    </row>
    <row r="363" spans="2:11" ht="14" x14ac:dyDescent="0.3">
      <c r="B363" s="184"/>
      <c r="C363" s="185"/>
      <c r="D363" s="186"/>
      <c r="E363" s="187"/>
      <c r="F363" s="175"/>
      <c r="G363" s="176"/>
      <c r="H363" s="177"/>
      <c r="I363" s="106"/>
      <c r="J363" s="144"/>
      <c r="K363" s="176"/>
    </row>
    <row r="364" spans="2:11" ht="14" x14ac:dyDescent="0.3">
      <c r="B364" s="184"/>
      <c r="C364" s="185"/>
      <c r="D364" s="186"/>
      <c r="E364" s="185"/>
      <c r="F364" s="175"/>
      <c r="G364" s="176"/>
      <c r="H364" s="177"/>
      <c r="I364" s="106"/>
      <c r="J364" s="144"/>
      <c r="K364" s="176"/>
    </row>
    <row r="365" spans="2:11" ht="16.5" thickBot="1" x14ac:dyDescent="0.4">
      <c r="B365" s="203"/>
      <c r="C365" s="183"/>
      <c r="D365" s="204"/>
      <c r="E365" s="205"/>
      <c r="F365" s="183" t="s">
        <v>930</v>
      </c>
      <c r="G365" s="188">
        <f>SUM(G362:G364)</f>
        <v>0</v>
      </c>
      <c r="H365" s="189"/>
      <c r="I365" s="163"/>
      <c r="J365" s="190"/>
      <c r="K365" s="19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7414-6A7B-4518-ADBB-A54BB2011B6C}">
  <sheetPr codeName="Sheet8"/>
  <dimension ref="A3:L357"/>
  <sheetViews>
    <sheetView zoomScale="85" zoomScaleNormal="85" workbookViewId="0">
      <selection activeCell="D11" sqref="D11"/>
    </sheetView>
  </sheetViews>
  <sheetFormatPr defaultRowHeight="12.5" x14ac:dyDescent="0.25"/>
  <cols>
    <col min="3" max="3" width="12.26953125" customWidth="1"/>
    <col min="4" max="4" width="51" customWidth="1"/>
    <col min="5" max="5" width="16.26953125" customWidth="1"/>
    <col min="6" max="6" width="11.54296875" bestFit="1" customWidth="1"/>
    <col min="7" max="7" width="15.1796875" customWidth="1"/>
    <col min="8" max="8" width="16" customWidth="1"/>
    <col min="9" max="9" width="23.26953125" customWidth="1"/>
    <col min="10" max="10" width="3.26953125" customWidth="1"/>
    <col min="11" max="11" width="19.81640625" customWidth="1"/>
    <col min="12" max="12" width="22.81640625" bestFit="1" customWidth="1"/>
  </cols>
  <sheetData>
    <row r="3" spans="3:12" ht="15" x14ac:dyDescent="0.3">
      <c r="I3" s="152" t="s">
        <v>931</v>
      </c>
    </row>
    <row r="4" spans="3:12" ht="13" thickBot="1" x14ac:dyDescent="0.3">
      <c r="I4">
        <v>0</v>
      </c>
    </row>
    <row r="5" spans="3:12" ht="18.5" thickBot="1" x14ac:dyDescent="0.4">
      <c r="C5" s="131" t="s">
        <v>60</v>
      </c>
      <c r="D5" s="132" t="s">
        <v>20</v>
      </c>
      <c r="E5" s="132" t="s">
        <v>29</v>
      </c>
      <c r="F5" s="132" t="s">
        <v>30</v>
      </c>
      <c r="G5" s="132" t="s">
        <v>61</v>
      </c>
      <c r="H5" s="132" t="s">
        <v>44</v>
      </c>
      <c r="I5" s="133" t="s">
        <v>932</v>
      </c>
      <c r="J5" s="134"/>
      <c r="K5" s="150" t="s">
        <v>203</v>
      </c>
      <c r="L5" s="146" t="s">
        <v>786</v>
      </c>
    </row>
    <row r="6" spans="3:12" ht="17.5" x14ac:dyDescent="0.35">
      <c r="C6" s="116" t="s">
        <v>933</v>
      </c>
      <c r="D6" s="117"/>
      <c r="E6" s="117"/>
      <c r="F6" s="117"/>
      <c r="G6" s="117"/>
      <c r="H6" s="128"/>
      <c r="I6" s="129"/>
      <c r="K6" s="130"/>
      <c r="L6" s="147"/>
    </row>
    <row r="7" spans="3:12" ht="18" x14ac:dyDescent="0.35">
      <c r="C7" s="97" t="s">
        <v>70</v>
      </c>
      <c r="D7" s="98" t="s">
        <v>71</v>
      </c>
      <c r="E7" s="158"/>
      <c r="F7" s="135" t="s">
        <v>72</v>
      </c>
      <c r="G7" s="100">
        <v>0</v>
      </c>
      <c r="H7" s="101">
        <f>E7*G7</f>
        <v>0</v>
      </c>
      <c r="I7" s="102">
        <f>IF($I$4=0, 0, H7/$I$4)</f>
        <v>0</v>
      </c>
      <c r="J7" s="134"/>
      <c r="K7" s="97"/>
      <c r="L7" s="148">
        <f>Table1354[[#This Row],[Total]]</f>
        <v>0</v>
      </c>
    </row>
    <row r="8" spans="3:12" ht="18" x14ac:dyDescent="0.35">
      <c r="C8" s="97" t="s">
        <v>463</v>
      </c>
      <c r="D8" s="98" t="s">
        <v>464</v>
      </c>
      <c r="E8" s="158"/>
      <c r="F8" s="135" t="s">
        <v>72</v>
      </c>
      <c r="G8" s="100">
        <v>0</v>
      </c>
      <c r="H8" s="101">
        <f t="shared" ref="H8:H39" si="0">E8*G8</f>
        <v>0</v>
      </c>
      <c r="I8" s="102">
        <f t="shared" ref="I8:I39" si="1">IF($I$4=0, 0, H8/$I$4)</f>
        <v>0</v>
      </c>
      <c r="J8" s="134"/>
      <c r="K8" s="97"/>
      <c r="L8" s="148">
        <f>Table1354[[#This Row],[Total]]</f>
        <v>0</v>
      </c>
    </row>
    <row r="9" spans="3:12" ht="18" x14ac:dyDescent="0.35">
      <c r="C9" s="97" t="s">
        <v>465</v>
      </c>
      <c r="D9" s="98" t="s">
        <v>466</v>
      </c>
      <c r="E9" s="158"/>
      <c r="F9" s="135" t="s">
        <v>72</v>
      </c>
      <c r="G9" s="100">
        <v>0</v>
      </c>
      <c r="H9" s="101">
        <f t="shared" si="0"/>
        <v>0</v>
      </c>
      <c r="I9" s="102">
        <f t="shared" si="1"/>
        <v>0</v>
      </c>
      <c r="J9" s="134"/>
      <c r="K9" s="97"/>
      <c r="L9" s="148">
        <f>Table1354[[#This Row],[Total]]</f>
        <v>0</v>
      </c>
    </row>
    <row r="10" spans="3:12" ht="18" x14ac:dyDescent="0.35">
      <c r="C10" s="97" t="s">
        <v>467</v>
      </c>
      <c r="D10" s="98" t="s">
        <v>496</v>
      </c>
      <c r="E10" s="158"/>
      <c r="F10" s="135" t="s">
        <v>72</v>
      </c>
      <c r="G10" s="100">
        <v>0</v>
      </c>
      <c r="H10" s="101">
        <f t="shared" si="0"/>
        <v>0</v>
      </c>
      <c r="I10" s="102">
        <f t="shared" si="1"/>
        <v>0</v>
      </c>
      <c r="J10" s="134"/>
      <c r="K10" s="97"/>
      <c r="L10" s="148">
        <f>Table1354[[#This Row],[Total]]</f>
        <v>0</v>
      </c>
    </row>
    <row r="11" spans="3:12" ht="18" x14ac:dyDescent="0.35">
      <c r="C11" s="97" t="s">
        <v>77</v>
      </c>
      <c r="D11" s="98" t="s">
        <v>78</v>
      </c>
      <c r="E11" s="158"/>
      <c r="F11" s="135" t="s">
        <v>65</v>
      </c>
      <c r="G11" s="100">
        <v>120</v>
      </c>
      <c r="H11" s="101">
        <f t="shared" si="0"/>
        <v>0</v>
      </c>
      <c r="I11" s="102">
        <f t="shared" si="1"/>
        <v>0</v>
      </c>
      <c r="J11" s="134"/>
      <c r="K11" s="97"/>
      <c r="L11" s="148">
        <f>Table1354[[#This Row],[Total]]</f>
        <v>0</v>
      </c>
    </row>
    <row r="12" spans="3:12" ht="18" x14ac:dyDescent="0.35">
      <c r="C12" s="97" t="s">
        <v>79</v>
      </c>
      <c r="D12" s="98" t="s">
        <v>80</v>
      </c>
      <c r="E12" s="158"/>
      <c r="F12" s="135" t="s">
        <v>65</v>
      </c>
      <c r="G12" s="100">
        <v>112</v>
      </c>
      <c r="H12" s="101">
        <f t="shared" si="0"/>
        <v>0</v>
      </c>
      <c r="I12" s="102">
        <f t="shared" si="1"/>
        <v>0</v>
      </c>
      <c r="J12" s="134"/>
      <c r="K12" s="97"/>
      <c r="L12" s="148">
        <f>Table1354[[#This Row],[Total]]</f>
        <v>0</v>
      </c>
    </row>
    <row r="13" spans="3:12" ht="18" x14ac:dyDescent="0.35">
      <c r="C13" s="97" t="s">
        <v>81</v>
      </c>
      <c r="D13" s="98" t="s">
        <v>82</v>
      </c>
      <c r="E13" s="158"/>
      <c r="F13" s="135" t="s">
        <v>65</v>
      </c>
      <c r="G13" s="100">
        <v>90</v>
      </c>
      <c r="H13" s="101">
        <f t="shared" si="0"/>
        <v>0</v>
      </c>
      <c r="I13" s="102">
        <f t="shared" si="1"/>
        <v>0</v>
      </c>
      <c r="J13" s="134"/>
      <c r="K13" s="97"/>
      <c r="L13" s="148">
        <f>Table1354[[#This Row],[Total]]</f>
        <v>0</v>
      </c>
    </row>
    <row r="14" spans="3:12" ht="18" x14ac:dyDescent="0.35">
      <c r="C14" s="97" t="s">
        <v>83</v>
      </c>
      <c r="D14" s="98" t="s">
        <v>84</v>
      </c>
      <c r="E14" s="158"/>
      <c r="F14" s="135" t="s">
        <v>65</v>
      </c>
      <c r="G14" s="100">
        <v>73</v>
      </c>
      <c r="H14" s="101">
        <f t="shared" si="0"/>
        <v>0</v>
      </c>
      <c r="I14" s="102">
        <f t="shared" si="1"/>
        <v>0</v>
      </c>
      <c r="J14" s="134"/>
      <c r="K14" s="97"/>
      <c r="L14" s="148">
        <f>Table1354[[#This Row],[Total]]</f>
        <v>0</v>
      </c>
    </row>
    <row r="15" spans="3:12" ht="18" x14ac:dyDescent="0.35">
      <c r="C15" s="97" t="s">
        <v>63</v>
      </c>
      <c r="D15" s="98" t="s">
        <v>64</v>
      </c>
      <c r="E15" s="158"/>
      <c r="F15" s="135" t="s">
        <v>65</v>
      </c>
      <c r="G15" s="100">
        <v>105</v>
      </c>
      <c r="H15" s="101">
        <f t="shared" si="0"/>
        <v>0</v>
      </c>
      <c r="I15" s="102">
        <f t="shared" si="1"/>
        <v>0</v>
      </c>
      <c r="J15" s="134"/>
      <c r="K15" s="97"/>
      <c r="L15" s="148">
        <f>Table1354[[#This Row],[Total]]</f>
        <v>0</v>
      </c>
    </row>
    <row r="16" spans="3:12" ht="18" x14ac:dyDescent="0.35">
      <c r="C16" s="97" t="s">
        <v>66</v>
      </c>
      <c r="D16" s="98" t="s">
        <v>67</v>
      </c>
      <c r="E16" s="158"/>
      <c r="F16" s="135" t="s">
        <v>65</v>
      </c>
      <c r="G16" s="100">
        <v>102</v>
      </c>
      <c r="H16" s="101">
        <f t="shared" si="0"/>
        <v>0</v>
      </c>
      <c r="I16" s="102">
        <f t="shared" si="1"/>
        <v>0</v>
      </c>
      <c r="J16" s="134"/>
      <c r="K16" s="97"/>
      <c r="L16" s="148">
        <f>Table1354[[#This Row],[Total]]</f>
        <v>0</v>
      </c>
    </row>
    <row r="17" spans="1:12" ht="18" x14ac:dyDescent="0.35">
      <c r="C17" s="97" t="s">
        <v>68</v>
      </c>
      <c r="D17" s="98" t="s">
        <v>69</v>
      </c>
      <c r="E17" s="158"/>
      <c r="F17" s="135" t="s">
        <v>65</v>
      </c>
      <c r="G17" s="100">
        <v>80</v>
      </c>
      <c r="H17" s="101">
        <f t="shared" si="0"/>
        <v>0</v>
      </c>
      <c r="I17" s="102">
        <f t="shared" si="1"/>
        <v>0</v>
      </c>
      <c r="J17" s="134"/>
      <c r="K17" s="97"/>
      <c r="L17" s="148">
        <f>Table1354[[#This Row],[Total]]</f>
        <v>0</v>
      </c>
    </row>
    <row r="18" spans="1:12" ht="18" x14ac:dyDescent="0.35">
      <c r="C18" s="97" t="s">
        <v>85</v>
      </c>
      <c r="D18" s="98" t="s">
        <v>86</v>
      </c>
      <c r="E18" s="158"/>
      <c r="F18" s="135" t="s">
        <v>65</v>
      </c>
      <c r="G18" s="100">
        <v>54</v>
      </c>
      <c r="H18" s="101">
        <f t="shared" si="0"/>
        <v>0</v>
      </c>
      <c r="I18" s="102">
        <f t="shared" si="1"/>
        <v>0</v>
      </c>
      <c r="J18" s="134"/>
      <c r="K18" s="97"/>
      <c r="L18" s="148">
        <f>Table1354[[#This Row],[Total]]</f>
        <v>0</v>
      </c>
    </row>
    <row r="19" spans="1:12" ht="18" x14ac:dyDescent="0.35">
      <c r="C19" s="97" t="s">
        <v>87</v>
      </c>
      <c r="D19" s="98" t="s">
        <v>507</v>
      </c>
      <c r="E19" s="158"/>
      <c r="F19" s="135" t="s">
        <v>91</v>
      </c>
      <c r="G19" s="100">
        <v>0</v>
      </c>
      <c r="H19" s="101">
        <f t="shared" si="0"/>
        <v>0</v>
      </c>
      <c r="I19" s="102">
        <f t="shared" si="1"/>
        <v>0</v>
      </c>
      <c r="J19" s="134"/>
      <c r="K19" s="97"/>
      <c r="L19" s="148">
        <f>Table1354[[#This Row],[Total]]</f>
        <v>0</v>
      </c>
    </row>
    <row r="20" spans="1:12" ht="18" x14ac:dyDescent="0.35">
      <c r="C20" s="97" t="s">
        <v>89</v>
      </c>
      <c r="D20" s="98" t="s">
        <v>90</v>
      </c>
      <c r="E20" s="158"/>
      <c r="F20" s="135" t="s">
        <v>91</v>
      </c>
      <c r="G20" s="100">
        <v>0</v>
      </c>
      <c r="H20" s="101">
        <f t="shared" si="0"/>
        <v>0</v>
      </c>
      <c r="I20" s="102">
        <f t="shared" si="1"/>
        <v>0</v>
      </c>
      <c r="J20" s="134"/>
      <c r="K20" s="97"/>
      <c r="L20" s="148">
        <f>Table1354[[#This Row],[Total]]</f>
        <v>0</v>
      </c>
    </row>
    <row r="21" spans="1:12" ht="18" x14ac:dyDescent="0.35">
      <c r="C21" s="97" t="s">
        <v>92</v>
      </c>
      <c r="D21" s="98" t="s">
        <v>93</v>
      </c>
      <c r="E21" s="158"/>
      <c r="F21" s="135" t="s">
        <v>91</v>
      </c>
      <c r="G21" s="100">
        <v>0</v>
      </c>
      <c r="H21" s="101">
        <f t="shared" si="0"/>
        <v>0</v>
      </c>
      <c r="I21" s="102">
        <f t="shared" si="1"/>
        <v>0</v>
      </c>
      <c r="J21" s="134"/>
      <c r="K21" s="97"/>
      <c r="L21" s="148">
        <f>Table1354[[#This Row],[Total]]</f>
        <v>0</v>
      </c>
    </row>
    <row r="22" spans="1:12" ht="18" x14ac:dyDescent="0.35">
      <c r="C22" s="97" t="s">
        <v>94</v>
      </c>
      <c r="D22" s="98" t="s">
        <v>95</v>
      </c>
      <c r="E22" s="158"/>
      <c r="F22" s="135" t="s">
        <v>91</v>
      </c>
      <c r="G22" s="100">
        <v>0</v>
      </c>
      <c r="H22" s="101">
        <f t="shared" si="0"/>
        <v>0</v>
      </c>
      <c r="I22" s="102">
        <f t="shared" si="1"/>
        <v>0</v>
      </c>
      <c r="J22" s="134"/>
      <c r="K22" s="97"/>
      <c r="L22" s="148">
        <f>Table1354[[#This Row],[Total]]</f>
        <v>0</v>
      </c>
    </row>
    <row r="23" spans="1:12" ht="18" x14ac:dyDescent="0.35">
      <c r="C23" s="97" t="s">
        <v>96</v>
      </c>
      <c r="D23" s="98" t="s">
        <v>97</v>
      </c>
      <c r="E23" s="158"/>
      <c r="F23" s="135" t="s">
        <v>88</v>
      </c>
      <c r="G23" s="100">
        <v>0</v>
      </c>
      <c r="H23" s="101">
        <f t="shared" si="0"/>
        <v>0</v>
      </c>
      <c r="I23" s="102">
        <f t="shared" si="1"/>
        <v>0</v>
      </c>
      <c r="J23" s="134"/>
      <c r="K23" s="97"/>
      <c r="L23" s="148">
        <f>Table1354[[#This Row],[Total]]</f>
        <v>0</v>
      </c>
    </row>
    <row r="24" spans="1:12" ht="18" x14ac:dyDescent="0.35">
      <c r="C24" s="97" t="s">
        <v>98</v>
      </c>
      <c r="D24" s="98" t="s">
        <v>99</v>
      </c>
      <c r="E24" s="158"/>
      <c r="F24" s="135" t="s">
        <v>91</v>
      </c>
      <c r="G24" s="100">
        <v>0</v>
      </c>
      <c r="H24" s="101">
        <f t="shared" si="0"/>
        <v>0</v>
      </c>
      <c r="I24" s="102">
        <f t="shared" si="1"/>
        <v>0</v>
      </c>
      <c r="J24" s="134"/>
      <c r="K24" s="97"/>
      <c r="L24" s="148">
        <f>Table1354[[#This Row],[Total]]</f>
        <v>0</v>
      </c>
    </row>
    <row r="25" spans="1:12" ht="18" x14ac:dyDescent="0.35">
      <c r="C25" s="97" t="s">
        <v>100</v>
      </c>
      <c r="D25" s="98" t="s">
        <v>514</v>
      </c>
      <c r="E25" s="158"/>
      <c r="F25" s="135" t="s">
        <v>25</v>
      </c>
      <c r="G25" s="100">
        <v>0</v>
      </c>
      <c r="H25" s="101">
        <f t="shared" si="0"/>
        <v>0</v>
      </c>
      <c r="I25" s="102">
        <f t="shared" si="1"/>
        <v>0</v>
      </c>
      <c r="J25" s="134"/>
      <c r="K25" s="97"/>
      <c r="L25" s="148">
        <f>Table1354[[#This Row],[Total]]</f>
        <v>0</v>
      </c>
    </row>
    <row r="26" spans="1:12" ht="18" x14ac:dyDescent="0.35">
      <c r="C26" s="97" t="s">
        <v>101</v>
      </c>
      <c r="D26" s="98" t="s">
        <v>102</v>
      </c>
      <c r="E26" s="158"/>
      <c r="F26" s="135" t="s">
        <v>91</v>
      </c>
      <c r="G26" s="100">
        <v>0</v>
      </c>
      <c r="H26" s="101">
        <f t="shared" si="0"/>
        <v>0</v>
      </c>
      <c r="I26" s="102">
        <f t="shared" si="1"/>
        <v>0</v>
      </c>
      <c r="J26" s="134"/>
      <c r="K26" s="97"/>
      <c r="L26" s="148">
        <f>Table1354[[#This Row],[Total]]</f>
        <v>0</v>
      </c>
    </row>
    <row r="27" spans="1:12" ht="18" x14ac:dyDescent="0.35">
      <c r="C27" s="97" t="s">
        <v>103</v>
      </c>
      <c r="D27" s="98" t="s">
        <v>104</v>
      </c>
      <c r="E27" s="158"/>
      <c r="F27" s="135" t="s">
        <v>91</v>
      </c>
      <c r="G27" s="100">
        <v>0</v>
      </c>
      <c r="H27" s="101">
        <f t="shared" si="0"/>
        <v>0</v>
      </c>
      <c r="I27" s="102">
        <f t="shared" si="1"/>
        <v>0</v>
      </c>
      <c r="J27" s="134"/>
      <c r="K27" s="97"/>
      <c r="L27" s="148">
        <f>Table1354[[#This Row],[Total]]</f>
        <v>0</v>
      </c>
    </row>
    <row r="28" spans="1:12" ht="18" x14ac:dyDescent="0.35">
      <c r="C28" s="97" t="s">
        <v>105</v>
      </c>
      <c r="D28" s="98" t="s">
        <v>106</v>
      </c>
      <c r="E28" s="158"/>
      <c r="F28" s="135" t="s">
        <v>91</v>
      </c>
      <c r="G28" s="100">
        <v>0</v>
      </c>
      <c r="H28" s="101">
        <f t="shared" si="0"/>
        <v>0</v>
      </c>
      <c r="I28" s="102">
        <f t="shared" si="1"/>
        <v>0</v>
      </c>
      <c r="J28" s="134"/>
      <c r="K28" s="97"/>
      <c r="L28" s="148">
        <f>Table1354[[#This Row],[Total]]</f>
        <v>0</v>
      </c>
    </row>
    <row r="29" spans="1:12" ht="18" x14ac:dyDescent="0.35">
      <c r="C29" s="97" t="s">
        <v>107</v>
      </c>
      <c r="D29" s="98" t="s">
        <v>108</v>
      </c>
      <c r="E29" s="158"/>
      <c r="F29" s="135" t="s">
        <v>91</v>
      </c>
      <c r="G29" s="100">
        <v>0</v>
      </c>
      <c r="H29" s="101">
        <f t="shared" si="0"/>
        <v>0</v>
      </c>
      <c r="I29" s="102">
        <f t="shared" si="1"/>
        <v>0</v>
      </c>
      <c r="J29" s="134"/>
      <c r="K29" s="97"/>
      <c r="L29" s="148">
        <f>Table1354[[#This Row],[Total]]</f>
        <v>0</v>
      </c>
    </row>
    <row r="30" spans="1:12" ht="18" x14ac:dyDescent="0.35">
      <c r="A30" s="97"/>
      <c r="C30" s="97" t="s">
        <v>109</v>
      </c>
      <c r="D30" s="98" t="s">
        <v>110</v>
      </c>
      <c r="E30" s="158"/>
      <c r="F30" s="135" t="s">
        <v>25</v>
      </c>
      <c r="G30" s="100">
        <v>0</v>
      </c>
      <c r="H30" s="101">
        <f t="shared" si="0"/>
        <v>0</v>
      </c>
      <c r="I30" s="102">
        <f t="shared" si="1"/>
        <v>0</v>
      </c>
      <c r="J30" s="134"/>
      <c r="K30" s="97"/>
      <c r="L30" s="148">
        <f>Table1354[[#This Row],[Total]]</f>
        <v>0</v>
      </c>
    </row>
    <row r="31" spans="1:12" ht="18" x14ac:dyDescent="0.35">
      <c r="C31" s="97" t="s">
        <v>111</v>
      </c>
      <c r="D31" s="98" t="s">
        <v>112</v>
      </c>
      <c r="E31" s="158"/>
      <c r="F31" s="135" t="s">
        <v>25</v>
      </c>
      <c r="G31" s="100">
        <v>0</v>
      </c>
      <c r="H31" s="101">
        <f t="shared" si="0"/>
        <v>0</v>
      </c>
      <c r="I31" s="102">
        <f t="shared" si="1"/>
        <v>0</v>
      </c>
      <c r="J31" s="134"/>
      <c r="K31" s="97"/>
      <c r="L31" s="148">
        <f>Table1354[[#This Row],[Total]]</f>
        <v>0</v>
      </c>
    </row>
    <row r="32" spans="1:12" ht="18" x14ac:dyDescent="0.35">
      <c r="C32" s="97" t="s">
        <v>113</v>
      </c>
      <c r="D32" s="98" t="s">
        <v>114</v>
      </c>
      <c r="E32" s="158"/>
      <c r="F32" s="135" t="s">
        <v>25</v>
      </c>
      <c r="G32" s="100">
        <v>0</v>
      </c>
      <c r="H32" s="101">
        <f t="shared" si="0"/>
        <v>0</v>
      </c>
      <c r="I32" s="102">
        <f t="shared" si="1"/>
        <v>0</v>
      </c>
      <c r="J32" s="134"/>
      <c r="K32" s="97"/>
      <c r="L32" s="148">
        <f>Table1354[[#This Row],[Total]]</f>
        <v>0</v>
      </c>
    </row>
    <row r="33" spans="3:12" ht="18" x14ac:dyDescent="0.35">
      <c r="C33" s="97" t="s">
        <v>115</v>
      </c>
      <c r="D33" s="98" t="s">
        <v>116</v>
      </c>
      <c r="E33" s="158"/>
      <c r="F33" s="135" t="s">
        <v>25</v>
      </c>
      <c r="G33" s="100">
        <v>0</v>
      </c>
      <c r="H33" s="101">
        <f t="shared" si="0"/>
        <v>0</v>
      </c>
      <c r="I33" s="102">
        <f t="shared" si="1"/>
        <v>0</v>
      </c>
      <c r="J33" s="134"/>
      <c r="K33" s="97"/>
      <c r="L33" s="148">
        <f>Table1354[[#This Row],[Total]]</f>
        <v>0</v>
      </c>
    </row>
    <row r="34" spans="3:12" ht="18" x14ac:dyDescent="0.35">
      <c r="C34" s="97" t="s">
        <v>117</v>
      </c>
      <c r="D34" s="98" t="s">
        <v>118</v>
      </c>
      <c r="E34" s="158"/>
      <c r="F34" s="135" t="s">
        <v>91</v>
      </c>
      <c r="G34" s="100">
        <v>0</v>
      </c>
      <c r="H34" s="101">
        <f t="shared" si="0"/>
        <v>0</v>
      </c>
      <c r="I34" s="102">
        <f t="shared" si="1"/>
        <v>0</v>
      </c>
      <c r="J34" s="134"/>
      <c r="K34" s="97"/>
      <c r="L34" s="148">
        <f>Table1354[[#This Row],[Total]]</f>
        <v>0</v>
      </c>
    </row>
    <row r="35" spans="3:12" ht="18" x14ac:dyDescent="0.35">
      <c r="C35" s="97" t="s">
        <v>119</v>
      </c>
      <c r="D35" s="98" t="s">
        <v>120</v>
      </c>
      <c r="E35" s="158"/>
      <c r="F35" s="135" t="s">
        <v>91</v>
      </c>
      <c r="G35" s="100">
        <v>0</v>
      </c>
      <c r="H35" s="101">
        <f t="shared" si="0"/>
        <v>0</v>
      </c>
      <c r="I35" s="102">
        <f t="shared" si="1"/>
        <v>0</v>
      </c>
      <c r="J35" s="134"/>
      <c r="K35" s="97"/>
      <c r="L35" s="148">
        <f>Table1354[[#This Row],[Total]]</f>
        <v>0</v>
      </c>
    </row>
    <row r="36" spans="3:12" ht="18" x14ac:dyDescent="0.35">
      <c r="C36" s="97" t="s">
        <v>121</v>
      </c>
      <c r="D36" s="98" t="s">
        <v>122</v>
      </c>
      <c r="E36" s="158"/>
      <c r="F36" s="135" t="s">
        <v>91</v>
      </c>
      <c r="G36" s="100">
        <v>0</v>
      </c>
      <c r="H36" s="101">
        <f t="shared" si="0"/>
        <v>0</v>
      </c>
      <c r="I36" s="102">
        <f t="shared" si="1"/>
        <v>0</v>
      </c>
      <c r="J36" s="134"/>
      <c r="K36" s="97"/>
      <c r="L36" s="148">
        <f>Table1354[[#This Row],[Total]]</f>
        <v>0</v>
      </c>
    </row>
    <row r="37" spans="3:12" ht="18" x14ac:dyDescent="0.35">
      <c r="C37" s="97" t="s">
        <v>123</v>
      </c>
      <c r="D37" s="98" t="s">
        <v>124</v>
      </c>
      <c r="E37" s="158"/>
      <c r="F37" s="135" t="s">
        <v>91</v>
      </c>
      <c r="G37" s="100">
        <v>0</v>
      </c>
      <c r="H37" s="101">
        <f t="shared" si="0"/>
        <v>0</v>
      </c>
      <c r="I37" s="102">
        <f t="shared" si="1"/>
        <v>0</v>
      </c>
      <c r="J37" s="134"/>
      <c r="K37" s="97"/>
      <c r="L37" s="148">
        <f>Table1354[[#This Row],[Total]]</f>
        <v>0</v>
      </c>
    </row>
    <row r="38" spans="3:12" ht="18" x14ac:dyDescent="0.35">
      <c r="C38" s="97" t="s">
        <v>125</v>
      </c>
      <c r="D38" s="98" t="s">
        <v>126</v>
      </c>
      <c r="E38" s="158"/>
      <c r="F38" s="135" t="s">
        <v>91</v>
      </c>
      <c r="G38" s="100">
        <v>0</v>
      </c>
      <c r="H38" s="101">
        <f t="shared" si="0"/>
        <v>0</v>
      </c>
      <c r="I38" s="102">
        <f t="shared" si="1"/>
        <v>0</v>
      </c>
      <c r="J38" s="134"/>
      <c r="K38" s="97"/>
      <c r="L38" s="148">
        <f>Table1354[[#This Row],[Total]]</f>
        <v>0</v>
      </c>
    </row>
    <row r="39" spans="3:12" ht="18" x14ac:dyDescent="0.35">
      <c r="C39" s="97" t="s">
        <v>127</v>
      </c>
      <c r="D39" s="98" t="s">
        <v>128</v>
      </c>
      <c r="E39" s="158"/>
      <c r="F39" s="135" t="s">
        <v>72</v>
      </c>
      <c r="G39" s="100">
        <v>0</v>
      </c>
      <c r="H39" s="101">
        <f t="shared" si="0"/>
        <v>0</v>
      </c>
      <c r="I39" s="102">
        <f t="shared" si="1"/>
        <v>0</v>
      </c>
      <c r="J39" s="134"/>
      <c r="K39" s="97"/>
      <c r="L39" s="148">
        <f>Table1354[[#This Row],[Total]]</f>
        <v>0</v>
      </c>
    </row>
    <row r="40" spans="3:12" ht="18" x14ac:dyDescent="0.35">
      <c r="C40" s="157"/>
      <c r="D40" s="158"/>
      <c r="E40" s="158"/>
      <c r="F40" s="158"/>
      <c r="G40" s="158"/>
      <c r="H40" s="158"/>
      <c r="I40" s="159"/>
      <c r="J40" s="134"/>
      <c r="K40" s="97"/>
      <c r="L40" s="148"/>
    </row>
    <row r="41" spans="3:12" ht="18" x14ac:dyDescent="0.35">
      <c r="C41" s="157"/>
      <c r="D41" s="158"/>
      <c r="E41" s="158"/>
      <c r="F41" s="158"/>
      <c r="G41" s="158"/>
      <c r="H41" s="158"/>
      <c r="I41" s="159"/>
      <c r="J41" s="134"/>
      <c r="K41" s="97"/>
      <c r="L41" s="148"/>
    </row>
    <row r="42" spans="3:12" ht="18" x14ac:dyDescent="0.35">
      <c r="C42" s="157"/>
      <c r="D42" s="158"/>
      <c r="E42" s="158"/>
      <c r="F42" s="158"/>
      <c r="G42" s="158"/>
      <c r="H42" s="158"/>
      <c r="I42" s="159"/>
      <c r="J42" s="134"/>
      <c r="K42" s="97"/>
      <c r="L42" s="148"/>
    </row>
    <row r="43" spans="3:12" ht="18" x14ac:dyDescent="0.35">
      <c r="C43" s="157"/>
      <c r="D43" s="158"/>
      <c r="E43" s="158"/>
      <c r="F43" s="158"/>
      <c r="G43" s="158"/>
      <c r="H43" s="158"/>
      <c r="I43" s="159"/>
      <c r="J43" s="134"/>
      <c r="K43" s="97"/>
      <c r="L43" s="148"/>
    </row>
    <row r="44" spans="3:12" ht="16" x14ac:dyDescent="0.35">
      <c r="C44" s="121"/>
      <c r="D44" s="122"/>
      <c r="E44" s="122"/>
      <c r="F44" s="136"/>
      <c r="G44" s="126"/>
      <c r="H44" s="123"/>
      <c r="I44" s="124"/>
      <c r="K44" s="125"/>
      <c r="L44" s="123"/>
    </row>
    <row r="45" spans="3:12" ht="18" thickBot="1" x14ac:dyDescent="0.4">
      <c r="C45" s="118"/>
      <c r="D45" s="119"/>
      <c r="E45" s="119"/>
      <c r="F45" s="137"/>
      <c r="G45" s="119" t="s">
        <v>934</v>
      </c>
      <c r="H45" s="120"/>
      <c r="I45" s="127"/>
      <c r="K45" s="140"/>
      <c r="L45" s="120"/>
    </row>
    <row r="46" spans="3:12" ht="17.5" x14ac:dyDescent="0.35">
      <c r="C46" s="116" t="s">
        <v>789</v>
      </c>
      <c r="D46" s="117"/>
      <c r="E46" s="117"/>
      <c r="F46" s="117"/>
      <c r="G46" s="117"/>
      <c r="H46" s="128"/>
      <c r="I46" s="129"/>
      <c r="K46" s="130"/>
      <c r="L46" s="147"/>
    </row>
    <row r="47" spans="3:12" ht="13.5" x14ac:dyDescent="0.25">
      <c r="C47" s="97" t="s">
        <v>158</v>
      </c>
      <c r="D47" s="98" t="s">
        <v>159</v>
      </c>
      <c r="E47" s="99">
        <v>1</v>
      </c>
      <c r="F47" s="135" t="s">
        <v>72</v>
      </c>
      <c r="G47" s="100">
        <v>0</v>
      </c>
      <c r="H47" s="101">
        <f>E47*G47</f>
        <v>0</v>
      </c>
      <c r="I47" s="102">
        <f>IF($I$4=0, 0, H47/$I$4)</f>
        <v>0</v>
      </c>
      <c r="K47" s="97"/>
      <c r="L47" s="148">
        <f>Table1354[[#This Row],[Total]]</f>
        <v>0</v>
      </c>
    </row>
    <row r="48" spans="3:12" ht="13.5" x14ac:dyDescent="0.25">
      <c r="C48" s="97" t="s">
        <v>132</v>
      </c>
      <c r="D48" s="98" t="s">
        <v>133</v>
      </c>
      <c r="E48" s="99">
        <v>0</v>
      </c>
      <c r="F48" s="135" t="s">
        <v>72</v>
      </c>
      <c r="G48" s="100">
        <v>0</v>
      </c>
      <c r="H48" s="101">
        <f t="shared" ref="H48:H63" si="2">E48*G48</f>
        <v>0</v>
      </c>
      <c r="I48" s="102">
        <f t="shared" ref="I48:I63" si="3">IF($I$4=0, 0, H48/$I$4)</f>
        <v>0</v>
      </c>
      <c r="K48" s="97"/>
      <c r="L48" s="148">
        <f>Table1354[[#This Row],[Total]]</f>
        <v>0</v>
      </c>
    </row>
    <row r="49" spans="3:12" ht="13.5" x14ac:dyDescent="0.25">
      <c r="C49" s="97" t="s">
        <v>160</v>
      </c>
      <c r="D49" s="98" t="s">
        <v>161</v>
      </c>
      <c r="E49" s="99">
        <v>100</v>
      </c>
      <c r="F49" s="135" t="s">
        <v>25</v>
      </c>
      <c r="G49" s="100">
        <v>0</v>
      </c>
      <c r="H49" s="101">
        <f t="shared" si="2"/>
        <v>0</v>
      </c>
      <c r="I49" s="102">
        <f t="shared" si="3"/>
        <v>0</v>
      </c>
      <c r="K49" s="97"/>
      <c r="L49" s="148">
        <f>Table1354[[#This Row],[Total]]</f>
        <v>0</v>
      </c>
    </row>
    <row r="50" spans="3:12" ht="13.5" x14ac:dyDescent="0.25">
      <c r="C50" s="97" t="s">
        <v>134</v>
      </c>
      <c r="D50" s="98" t="s">
        <v>135</v>
      </c>
      <c r="E50" s="99">
        <v>1039.2</v>
      </c>
      <c r="F50" s="135" t="s">
        <v>65</v>
      </c>
      <c r="G50" s="100">
        <v>0</v>
      </c>
      <c r="H50" s="101">
        <f t="shared" si="2"/>
        <v>0</v>
      </c>
      <c r="I50" s="102">
        <f t="shared" si="3"/>
        <v>0</v>
      </c>
      <c r="K50" s="97"/>
      <c r="L50" s="148">
        <f>Table1354[[#This Row],[Total]]</f>
        <v>0</v>
      </c>
    </row>
    <row r="51" spans="3:12" ht="13.5" x14ac:dyDescent="0.25">
      <c r="C51" s="97" t="s">
        <v>134</v>
      </c>
      <c r="D51" s="98" t="s">
        <v>136</v>
      </c>
      <c r="E51" s="99">
        <v>1558.8000000000002</v>
      </c>
      <c r="F51" s="135" t="s">
        <v>65</v>
      </c>
      <c r="G51" s="100">
        <v>0</v>
      </c>
      <c r="H51" s="101">
        <f t="shared" si="2"/>
        <v>0</v>
      </c>
      <c r="I51" s="102">
        <f t="shared" si="3"/>
        <v>0</v>
      </c>
      <c r="K51" s="97"/>
      <c r="L51" s="148">
        <f>Table1354[[#This Row],[Total]]</f>
        <v>0</v>
      </c>
    </row>
    <row r="52" spans="3:12" ht="13.5" x14ac:dyDescent="0.25">
      <c r="C52" s="97" t="s">
        <v>137</v>
      </c>
      <c r="D52" s="98" t="s">
        <v>138</v>
      </c>
      <c r="E52" s="99">
        <v>14</v>
      </c>
      <c r="F52" s="135" t="s">
        <v>91</v>
      </c>
      <c r="G52" s="100">
        <v>0</v>
      </c>
      <c r="H52" s="101">
        <f t="shared" si="2"/>
        <v>0</v>
      </c>
      <c r="I52" s="102">
        <f t="shared" si="3"/>
        <v>0</v>
      </c>
      <c r="K52" s="97"/>
      <c r="L52" s="148">
        <f>Table1354[[#This Row],[Total]]</f>
        <v>0</v>
      </c>
    </row>
    <row r="53" spans="3:12" ht="13.5" x14ac:dyDescent="0.25">
      <c r="C53" s="97" t="s">
        <v>139</v>
      </c>
      <c r="D53" s="98" t="s">
        <v>140</v>
      </c>
      <c r="E53" s="99">
        <v>300000</v>
      </c>
      <c r="F53" s="135" t="s">
        <v>27</v>
      </c>
      <c r="G53" s="100">
        <v>0</v>
      </c>
      <c r="H53" s="101">
        <f t="shared" si="2"/>
        <v>0</v>
      </c>
      <c r="I53" s="102">
        <f t="shared" si="3"/>
        <v>0</v>
      </c>
      <c r="K53" s="97"/>
      <c r="L53" s="148">
        <f>Table1354[[#This Row],[Total]]</f>
        <v>0</v>
      </c>
    </row>
    <row r="54" spans="3:12" ht="13.5" x14ac:dyDescent="0.25">
      <c r="C54" s="97" t="s">
        <v>141</v>
      </c>
      <c r="D54" s="98" t="s">
        <v>142</v>
      </c>
      <c r="E54" s="99">
        <v>0</v>
      </c>
      <c r="F54" s="135" t="s">
        <v>25</v>
      </c>
      <c r="G54" s="100">
        <v>0</v>
      </c>
      <c r="H54" s="101">
        <f t="shared" si="2"/>
        <v>0</v>
      </c>
      <c r="I54" s="102">
        <f t="shared" si="3"/>
        <v>0</v>
      </c>
      <c r="K54" s="97"/>
      <c r="L54" s="148">
        <f>Table1354[[#This Row],[Total]]</f>
        <v>0</v>
      </c>
    </row>
    <row r="55" spans="3:12" ht="13.5" x14ac:dyDescent="0.25">
      <c r="C55" s="97" t="s">
        <v>143</v>
      </c>
      <c r="D55" s="98" t="s">
        <v>144</v>
      </c>
      <c r="E55" s="99">
        <v>0</v>
      </c>
      <c r="F55" s="135" t="s">
        <v>23</v>
      </c>
      <c r="G55" s="100">
        <v>0</v>
      </c>
      <c r="H55" s="101">
        <f t="shared" si="2"/>
        <v>0</v>
      </c>
      <c r="I55" s="102">
        <f t="shared" si="3"/>
        <v>0</v>
      </c>
      <c r="K55" s="97"/>
      <c r="L55" s="148">
        <f>Table1354[[#This Row],[Total]]</f>
        <v>0</v>
      </c>
    </row>
    <row r="56" spans="3:12" ht="13.5" x14ac:dyDescent="0.25">
      <c r="C56" s="97" t="s">
        <v>145</v>
      </c>
      <c r="D56" s="98" t="s">
        <v>146</v>
      </c>
      <c r="E56" s="99">
        <v>1200</v>
      </c>
      <c r="F56" s="135" t="s">
        <v>23</v>
      </c>
      <c r="G56" s="100">
        <v>0</v>
      </c>
      <c r="H56" s="101">
        <f t="shared" si="2"/>
        <v>0</v>
      </c>
      <c r="I56" s="102">
        <f t="shared" si="3"/>
        <v>0</v>
      </c>
      <c r="K56" s="97"/>
      <c r="L56" s="148">
        <f>Table1354[[#This Row],[Total]]</f>
        <v>0</v>
      </c>
    </row>
    <row r="57" spans="3:12" ht="13.5" x14ac:dyDescent="0.25">
      <c r="C57" s="97" t="s">
        <v>147</v>
      </c>
      <c r="D57" s="98" t="s">
        <v>148</v>
      </c>
      <c r="E57" s="99">
        <v>600</v>
      </c>
      <c r="F57" s="135" t="s">
        <v>23</v>
      </c>
      <c r="G57" s="100">
        <v>0</v>
      </c>
      <c r="H57" s="101">
        <f t="shared" si="2"/>
        <v>0</v>
      </c>
      <c r="I57" s="102">
        <f t="shared" si="3"/>
        <v>0</v>
      </c>
      <c r="K57" s="97"/>
      <c r="L57" s="148">
        <f>Table1354[[#This Row],[Total]]</f>
        <v>0</v>
      </c>
    </row>
    <row r="58" spans="3:12" ht="13.5" x14ac:dyDescent="0.25">
      <c r="C58" s="97" t="s">
        <v>149</v>
      </c>
      <c r="D58" s="98" t="s">
        <v>150</v>
      </c>
      <c r="E58" s="99">
        <v>1</v>
      </c>
      <c r="F58" s="135" t="s">
        <v>72</v>
      </c>
      <c r="G58" s="100">
        <v>0</v>
      </c>
      <c r="H58" s="101">
        <f t="shared" si="2"/>
        <v>0</v>
      </c>
      <c r="I58" s="102">
        <f t="shared" si="3"/>
        <v>0</v>
      </c>
      <c r="K58" s="97"/>
      <c r="L58" s="148">
        <f>Table1354[[#This Row],[Total]]</f>
        <v>0</v>
      </c>
    </row>
    <row r="59" spans="3:12" ht="13.5" x14ac:dyDescent="0.25">
      <c r="C59" s="97" t="s">
        <v>151</v>
      </c>
      <c r="D59" s="98" t="s">
        <v>152</v>
      </c>
      <c r="E59" s="99">
        <v>6</v>
      </c>
      <c r="F59" s="135" t="s">
        <v>91</v>
      </c>
      <c r="G59" s="100">
        <v>0</v>
      </c>
      <c r="H59" s="101">
        <f t="shared" si="2"/>
        <v>0</v>
      </c>
      <c r="I59" s="102">
        <f t="shared" si="3"/>
        <v>0</v>
      </c>
      <c r="K59" s="97"/>
      <c r="L59" s="148">
        <f>Table1354[[#This Row],[Total]]</f>
        <v>0</v>
      </c>
    </row>
    <row r="60" spans="3:12" ht="13.5" x14ac:dyDescent="0.25">
      <c r="C60" s="97" t="s">
        <v>153</v>
      </c>
      <c r="D60" s="98" t="s">
        <v>154</v>
      </c>
      <c r="E60" s="99">
        <v>14</v>
      </c>
      <c r="F60" s="135" t="s">
        <v>91</v>
      </c>
      <c r="G60" s="100">
        <v>0</v>
      </c>
      <c r="H60" s="101">
        <f t="shared" si="2"/>
        <v>0</v>
      </c>
      <c r="I60" s="102">
        <f t="shared" si="3"/>
        <v>0</v>
      </c>
      <c r="K60" s="97"/>
      <c r="L60" s="148">
        <f>Table1354[[#This Row],[Total]]</f>
        <v>0</v>
      </c>
    </row>
    <row r="61" spans="3:12" ht="13.5" x14ac:dyDescent="0.25">
      <c r="C61" s="97" t="s">
        <v>155</v>
      </c>
      <c r="D61" s="98" t="s">
        <v>156</v>
      </c>
      <c r="E61" s="99">
        <v>14</v>
      </c>
      <c r="F61" s="135" t="s">
        <v>91</v>
      </c>
      <c r="G61" s="100">
        <v>0</v>
      </c>
      <c r="H61" s="101">
        <f t="shared" si="2"/>
        <v>0</v>
      </c>
      <c r="I61" s="102">
        <f t="shared" si="3"/>
        <v>0</v>
      </c>
      <c r="K61" s="97"/>
      <c r="L61" s="148">
        <f>Table1354[[#This Row],[Total]]</f>
        <v>0</v>
      </c>
    </row>
    <row r="62" spans="3:12" ht="13.5" x14ac:dyDescent="0.25">
      <c r="C62" s="97" t="s">
        <v>157</v>
      </c>
      <c r="D62" s="98" t="s">
        <v>549</v>
      </c>
      <c r="E62" s="103">
        <v>1</v>
      </c>
      <c r="F62" s="135" t="s">
        <v>25</v>
      </c>
      <c r="G62" s="100">
        <v>0</v>
      </c>
      <c r="H62" s="101">
        <f t="shared" si="2"/>
        <v>0</v>
      </c>
      <c r="I62" s="102">
        <f t="shared" si="3"/>
        <v>0</v>
      </c>
      <c r="K62" s="97"/>
      <c r="L62" s="148">
        <f>Table1354[[#This Row],[Total]]</f>
        <v>0</v>
      </c>
    </row>
    <row r="63" spans="3:12" ht="13.5" x14ac:dyDescent="0.25">
      <c r="C63" s="97" t="s">
        <v>162</v>
      </c>
      <c r="D63" s="98" t="s">
        <v>163</v>
      </c>
      <c r="E63" s="103">
        <v>0</v>
      </c>
      <c r="F63" s="135" t="s">
        <v>25</v>
      </c>
      <c r="G63" s="100">
        <v>0</v>
      </c>
      <c r="H63" s="101">
        <f t="shared" si="2"/>
        <v>0</v>
      </c>
      <c r="I63" s="102">
        <f t="shared" si="3"/>
        <v>0</v>
      </c>
      <c r="K63" s="97"/>
      <c r="L63" s="148">
        <f>Table1354[[#This Row],[Total]]</f>
        <v>0</v>
      </c>
    </row>
    <row r="64" spans="3:12" ht="16" x14ac:dyDescent="0.35">
      <c r="C64" s="121"/>
      <c r="D64" s="122"/>
      <c r="E64" s="122"/>
      <c r="F64" s="136"/>
      <c r="G64" s="126" t="s">
        <v>790</v>
      </c>
      <c r="H64" s="123">
        <f>SUM(H47:H63)</f>
        <v>0</v>
      </c>
      <c r="I64" s="124">
        <f>IF($I$4=0, 0, H63/$I$4)</f>
        <v>0</v>
      </c>
      <c r="K64" s="125"/>
      <c r="L64" s="123">
        <f>SUM(L47:L63)</f>
        <v>0</v>
      </c>
    </row>
    <row r="65" spans="3:12" ht="13.5" x14ac:dyDescent="0.25">
      <c r="C65" s="97" t="s">
        <v>164</v>
      </c>
      <c r="D65" s="98" t="s">
        <v>165</v>
      </c>
      <c r="E65" s="103">
        <v>1</v>
      </c>
      <c r="F65" s="135" t="s">
        <v>72</v>
      </c>
      <c r="G65" s="100">
        <v>0</v>
      </c>
      <c r="H65" s="101">
        <f t="shared" ref="H65:H87" si="4">E65*G65</f>
        <v>0</v>
      </c>
      <c r="I65" s="102">
        <f t="shared" ref="I65:I89" si="5">IF($I$4=0, 0, H65/$I$4)</f>
        <v>0</v>
      </c>
      <c r="K65" s="97"/>
      <c r="L65" s="148">
        <f>Table1354[[#This Row],[Total]]</f>
        <v>0</v>
      </c>
    </row>
    <row r="66" spans="3:12" ht="16" x14ac:dyDescent="0.35">
      <c r="C66" s="121"/>
      <c r="D66" s="122"/>
      <c r="E66" s="122"/>
      <c r="F66" s="136"/>
      <c r="G66" s="126" t="s">
        <v>791</v>
      </c>
      <c r="H66" s="123">
        <f>SUM(H65)</f>
        <v>0</v>
      </c>
      <c r="I66" s="124">
        <f t="shared" si="5"/>
        <v>0</v>
      </c>
      <c r="K66" s="125"/>
      <c r="L66" s="123">
        <f>SUM(L65)</f>
        <v>0</v>
      </c>
    </row>
    <row r="67" spans="3:12" ht="13.5" x14ac:dyDescent="0.25">
      <c r="C67" s="97" t="s">
        <v>166</v>
      </c>
      <c r="D67" s="98" t="s">
        <v>167</v>
      </c>
      <c r="E67" s="103">
        <v>0</v>
      </c>
      <c r="F67" s="135" t="s">
        <v>72</v>
      </c>
      <c r="G67" s="100">
        <v>0</v>
      </c>
      <c r="H67" s="101">
        <f t="shared" si="4"/>
        <v>0</v>
      </c>
      <c r="I67" s="102">
        <f t="shared" si="5"/>
        <v>0</v>
      </c>
      <c r="K67" s="97"/>
      <c r="L67" s="148">
        <f>Table1354[[#This Row],[Total]]</f>
        <v>0</v>
      </c>
    </row>
    <row r="68" spans="3:12" ht="13.5" x14ac:dyDescent="0.25">
      <c r="C68" s="97" t="s">
        <v>168</v>
      </c>
      <c r="D68" s="98" t="s">
        <v>169</v>
      </c>
      <c r="E68" s="103">
        <v>0</v>
      </c>
      <c r="F68" s="135" t="s">
        <v>25</v>
      </c>
      <c r="G68" s="100">
        <v>0</v>
      </c>
      <c r="H68" s="101">
        <f t="shared" si="4"/>
        <v>0</v>
      </c>
      <c r="I68" s="102">
        <f t="shared" si="5"/>
        <v>0</v>
      </c>
      <c r="K68" s="97"/>
      <c r="L68" s="148">
        <f>Table1354[[#This Row],[Total]]</f>
        <v>0</v>
      </c>
    </row>
    <row r="69" spans="3:12" ht="13.5" x14ac:dyDescent="0.25">
      <c r="C69" s="97" t="s">
        <v>170</v>
      </c>
      <c r="D69" s="98" t="s">
        <v>171</v>
      </c>
      <c r="E69" s="103">
        <v>1</v>
      </c>
      <c r="F69" s="135" t="s">
        <v>72</v>
      </c>
      <c r="G69" s="100">
        <v>0</v>
      </c>
      <c r="H69" s="101">
        <f t="shared" si="4"/>
        <v>0</v>
      </c>
      <c r="I69" s="102">
        <f t="shared" si="5"/>
        <v>0</v>
      </c>
      <c r="K69" s="97"/>
      <c r="L69" s="148">
        <f>Table1354[[#This Row],[Total]]</f>
        <v>0</v>
      </c>
    </row>
    <row r="70" spans="3:12" ht="13.5" x14ac:dyDescent="0.25">
      <c r="C70" s="97" t="s">
        <v>172</v>
      </c>
      <c r="D70" s="98" t="s">
        <v>173</v>
      </c>
      <c r="E70" s="103">
        <v>1</v>
      </c>
      <c r="F70" s="135" t="s">
        <v>72</v>
      </c>
      <c r="G70" s="100">
        <v>0</v>
      </c>
      <c r="H70" s="101">
        <f t="shared" si="4"/>
        <v>0</v>
      </c>
      <c r="I70" s="102">
        <f t="shared" si="5"/>
        <v>0</v>
      </c>
      <c r="K70" s="97"/>
      <c r="L70" s="148">
        <f>Table1354[[#This Row],[Total]]</f>
        <v>0</v>
      </c>
    </row>
    <row r="71" spans="3:12" ht="13.5" x14ac:dyDescent="0.25">
      <c r="C71" s="97" t="s">
        <v>174</v>
      </c>
      <c r="D71" s="98" t="s">
        <v>175</v>
      </c>
      <c r="E71" s="103">
        <v>0</v>
      </c>
      <c r="F71" s="135" t="s">
        <v>72</v>
      </c>
      <c r="G71" s="100">
        <v>0</v>
      </c>
      <c r="H71" s="101">
        <f t="shared" si="4"/>
        <v>0</v>
      </c>
      <c r="I71" s="102">
        <f t="shared" si="5"/>
        <v>0</v>
      </c>
      <c r="K71" s="97"/>
      <c r="L71" s="148">
        <f>Table1354[[#This Row],[Total]]</f>
        <v>0</v>
      </c>
    </row>
    <row r="72" spans="3:12" ht="13.5" x14ac:dyDescent="0.25">
      <c r="C72" s="97" t="s">
        <v>176</v>
      </c>
      <c r="D72" s="98" t="s">
        <v>177</v>
      </c>
      <c r="E72" s="103">
        <v>0</v>
      </c>
      <c r="F72" s="135" t="s">
        <v>72</v>
      </c>
      <c r="G72" s="100">
        <v>0</v>
      </c>
      <c r="H72" s="101">
        <f t="shared" si="4"/>
        <v>0</v>
      </c>
      <c r="I72" s="102">
        <f t="shared" si="5"/>
        <v>0</v>
      </c>
      <c r="K72" s="97"/>
      <c r="L72" s="148">
        <f>Table1354[[#This Row],[Total]]</f>
        <v>0</v>
      </c>
    </row>
    <row r="73" spans="3:12" ht="13.5" x14ac:dyDescent="0.25">
      <c r="C73" s="97" t="s">
        <v>178</v>
      </c>
      <c r="D73" s="98" t="s">
        <v>179</v>
      </c>
      <c r="E73" s="103">
        <v>0</v>
      </c>
      <c r="F73" s="135" t="s">
        <v>72</v>
      </c>
      <c r="G73" s="100">
        <v>0</v>
      </c>
      <c r="H73" s="101">
        <f t="shared" si="4"/>
        <v>0</v>
      </c>
      <c r="I73" s="102">
        <f t="shared" si="5"/>
        <v>0</v>
      </c>
      <c r="K73" s="97"/>
      <c r="L73" s="148">
        <f>Table1354[[#This Row],[Total]]</f>
        <v>0</v>
      </c>
    </row>
    <row r="74" spans="3:12" ht="16" x14ac:dyDescent="0.35">
      <c r="C74" s="121"/>
      <c r="D74" s="122"/>
      <c r="E74" s="122"/>
      <c r="F74" s="136"/>
      <c r="G74" s="126" t="s">
        <v>792</v>
      </c>
      <c r="H74" s="123">
        <f>SUM(H67:H73)</f>
        <v>0</v>
      </c>
      <c r="I74" s="124">
        <f t="shared" si="5"/>
        <v>0</v>
      </c>
      <c r="K74" s="125"/>
      <c r="L74" s="123">
        <f>SUM(L67:L73)</f>
        <v>0</v>
      </c>
    </row>
    <row r="75" spans="3:12" ht="13.5" x14ac:dyDescent="0.25">
      <c r="C75" s="97" t="s">
        <v>180</v>
      </c>
      <c r="D75" s="98" t="s">
        <v>181</v>
      </c>
      <c r="E75" s="103">
        <v>10</v>
      </c>
      <c r="F75" s="135" t="s">
        <v>91</v>
      </c>
      <c r="G75" s="100">
        <v>0</v>
      </c>
      <c r="H75" s="101">
        <f t="shared" si="4"/>
        <v>0</v>
      </c>
      <c r="I75" s="102">
        <f t="shared" si="5"/>
        <v>0</v>
      </c>
      <c r="K75" s="97"/>
      <c r="L75" s="148">
        <f>Table1354[[#This Row],[Total]]</f>
        <v>0</v>
      </c>
    </row>
    <row r="76" spans="3:12" ht="13.5" x14ac:dyDescent="0.25">
      <c r="C76" s="97" t="s">
        <v>182</v>
      </c>
      <c r="D76" s="98" t="s">
        <v>183</v>
      </c>
      <c r="E76" s="103">
        <v>0</v>
      </c>
      <c r="F76" s="135" t="s">
        <v>91</v>
      </c>
      <c r="G76" s="100">
        <v>0</v>
      </c>
      <c r="H76" s="101">
        <f t="shared" si="4"/>
        <v>0</v>
      </c>
      <c r="I76" s="102">
        <f t="shared" si="5"/>
        <v>0</v>
      </c>
      <c r="K76" s="97"/>
      <c r="L76" s="148">
        <f>Table1354[[#This Row],[Total]]</f>
        <v>0</v>
      </c>
    </row>
    <row r="77" spans="3:12" ht="13.5" x14ac:dyDescent="0.25">
      <c r="C77" s="97" t="s">
        <v>184</v>
      </c>
      <c r="D77" s="98" t="s">
        <v>185</v>
      </c>
      <c r="E77" s="103">
        <v>0</v>
      </c>
      <c r="F77" s="135" t="s">
        <v>91</v>
      </c>
      <c r="G77" s="100">
        <v>0</v>
      </c>
      <c r="H77" s="101">
        <f t="shared" si="4"/>
        <v>0</v>
      </c>
      <c r="I77" s="102">
        <f t="shared" si="5"/>
        <v>0</v>
      </c>
      <c r="K77" s="97"/>
      <c r="L77" s="148">
        <f>Table1354[[#This Row],[Total]]</f>
        <v>0</v>
      </c>
    </row>
    <row r="78" spans="3:12" ht="13.5" x14ac:dyDescent="0.25">
      <c r="C78" s="97" t="s">
        <v>186</v>
      </c>
      <c r="D78" s="98" t="s">
        <v>187</v>
      </c>
      <c r="E78" s="103">
        <v>14</v>
      </c>
      <c r="F78" s="135" t="s">
        <v>91</v>
      </c>
      <c r="G78" s="100">
        <v>0</v>
      </c>
      <c r="H78" s="101">
        <f t="shared" si="4"/>
        <v>0</v>
      </c>
      <c r="I78" s="102">
        <f t="shared" si="5"/>
        <v>0</v>
      </c>
      <c r="K78" s="97"/>
      <c r="L78" s="148">
        <f>Table1354[[#This Row],[Total]]</f>
        <v>0</v>
      </c>
    </row>
    <row r="79" spans="3:12" ht="13.5" x14ac:dyDescent="0.25">
      <c r="C79" s="97" t="s">
        <v>188</v>
      </c>
      <c r="D79" s="98" t="s">
        <v>189</v>
      </c>
      <c r="E79" s="103">
        <v>12</v>
      </c>
      <c r="F79" s="135" t="s">
        <v>91</v>
      </c>
      <c r="G79" s="100">
        <v>0</v>
      </c>
      <c r="H79" s="101">
        <f t="shared" si="4"/>
        <v>0</v>
      </c>
      <c r="I79" s="102">
        <f t="shared" si="5"/>
        <v>0</v>
      </c>
      <c r="K79" s="97"/>
      <c r="L79" s="148">
        <f>Table1354[[#This Row],[Total]]</f>
        <v>0</v>
      </c>
    </row>
    <row r="80" spans="3:12" ht="13.5" x14ac:dyDescent="0.25">
      <c r="C80" s="97" t="s">
        <v>190</v>
      </c>
      <c r="D80" s="98" t="s">
        <v>191</v>
      </c>
      <c r="E80" s="103">
        <v>12</v>
      </c>
      <c r="F80" s="135" t="s">
        <v>91</v>
      </c>
      <c r="G80" s="100">
        <v>0</v>
      </c>
      <c r="H80" s="101">
        <f t="shared" si="4"/>
        <v>0</v>
      </c>
      <c r="I80" s="102">
        <f t="shared" si="5"/>
        <v>0</v>
      </c>
      <c r="K80" s="97"/>
      <c r="L80" s="148">
        <f>Table1354[[#This Row],[Total]]</f>
        <v>0</v>
      </c>
    </row>
    <row r="81" spans="3:12" ht="16" x14ac:dyDescent="0.35">
      <c r="C81" s="121"/>
      <c r="D81" s="122"/>
      <c r="E81" s="122"/>
      <c r="F81" s="136"/>
      <c r="G81" s="126" t="s">
        <v>793</v>
      </c>
      <c r="H81" s="123">
        <f>SUM(H75:H80)</f>
        <v>0</v>
      </c>
      <c r="I81" s="124">
        <f t="shared" si="5"/>
        <v>0</v>
      </c>
      <c r="K81" s="125"/>
      <c r="L81" s="123">
        <f>SUM(L75:L80)</f>
        <v>0</v>
      </c>
    </row>
    <row r="82" spans="3:12" ht="13.5" x14ac:dyDescent="0.25">
      <c r="C82" s="97" t="s">
        <v>192</v>
      </c>
      <c r="D82" s="98" t="s">
        <v>566</v>
      </c>
      <c r="E82" s="103">
        <v>0</v>
      </c>
      <c r="F82" s="135" t="s">
        <v>72</v>
      </c>
      <c r="G82" s="100">
        <v>0</v>
      </c>
      <c r="H82" s="104">
        <f t="shared" si="4"/>
        <v>0</v>
      </c>
      <c r="I82" s="102">
        <f t="shared" si="5"/>
        <v>0</v>
      </c>
      <c r="K82" s="97"/>
      <c r="L82" s="148">
        <f>Table1354[[#This Row],[Total]]</f>
        <v>0</v>
      </c>
    </row>
    <row r="83" spans="3:12" ht="13.5" x14ac:dyDescent="0.25">
      <c r="C83" s="97" t="s">
        <v>193</v>
      </c>
      <c r="D83" s="98" t="s">
        <v>194</v>
      </c>
      <c r="E83" s="103">
        <v>0</v>
      </c>
      <c r="F83" s="135" t="s">
        <v>72</v>
      </c>
      <c r="G83" s="100">
        <v>0</v>
      </c>
      <c r="H83" s="104">
        <f t="shared" si="4"/>
        <v>0</v>
      </c>
      <c r="I83" s="102">
        <f t="shared" si="5"/>
        <v>0</v>
      </c>
      <c r="K83" s="97"/>
      <c r="L83" s="148">
        <f>Table1354[[#This Row],[Total]]</f>
        <v>0</v>
      </c>
    </row>
    <row r="84" spans="3:12" ht="13.5" x14ac:dyDescent="0.25">
      <c r="C84" s="97" t="s">
        <v>195</v>
      </c>
      <c r="D84" s="98" t="s">
        <v>196</v>
      </c>
      <c r="E84" s="103">
        <v>0</v>
      </c>
      <c r="F84" s="135" t="s">
        <v>72</v>
      </c>
      <c r="G84" s="100">
        <v>0</v>
      </c>
      <c r="H84" s="104">
        <f t="shared" si="4"/>
        <v>0</v>
      </c>
      <c r="I84" s="102">
        <f t="shared" si="5"/>
        <v>0</v>
      </c>
      <c r="K84" s="97"/>
      <c r="L84" s="148">
        <f>Table1354[[#This Row],[Total]]</f>
        <v>0</v>
      </c>
    </row>
    <row r="85" spans="3:12" ht="13.5" x14ac:dyDescent="0.25">
      <c r="C85" s="97" t="s">
        <v>197</v>
      </c>
      <c r="D85" s="98" t="s">
        <v>198</v>
      </c>
      <c r="E85" s="103">
        <v>1</v>
      </c>
      <c r="F85" s="135" t="s">
        <v>72</v>
      </c>
      <c r="G85" s="100">
        <v>0</v>
      </c>
      <c r="H85" s="104">
        <f t="shared" si="4"/>
        <v>0</v>
      </c>
      <c r="I85" s="102">
        <f t="shared" si="5"/>
        <v>0</v>
      </c>
      <c r="K85" s="97"/>
      <c r="L85" s="148">
        <f>Table1354[[#This Row],[Total]]</f>
        <v>0</v>
      </c>
    </row>
    <row r="86" spans="3:12" ht="13.5" x14ac:dyDescent="0.25">
      <c r="C86" s="97" t="s">
        <v>199</v>
      </c>
      <c r="D86" s="98" t="s">
        <v>200</v>
      </c>
      <c r="E86" s="103">
        <v>0</v>
      </c>
      <c r="F86" s="135" t="s">
        <v>72</v>
      </c>
      <c r="G86" s="100">
        <v>0</v>
      </c>
      <c r="H86" s="104">
        <f t="shared" si="4"/>
        <v>0</v>
      </c>
      <c r="I86" s="102">
        <f t="shared" si="5"/>
        <v>0</v>
      </c>
      <c r="K86" s="97"/>
      <c r="L86" s="148">
        <f>Table1354[[#This Row],[Total]]</f>
        <v>0</v>
      </c>
    </row>
    <row r="87" spans="3:12" ht="13.5" x14ac:dyDescent="0.25">
      <c r="C87" s="97" t="s">
        <v>201</v>
      </c>
      <c r="D87" s="98" t="s">
        <v>202</v>
      </c>
      <c r="E87" s="103">
        <v>0</v>
      </c>
      <c r="F87" s="135" t="s">
        <v>72</v>
      </c>
      <c r="G87" s="100">
        <v>0</v>
      </c>
      <c r="H87" s="104">
        <f t="shared" si="4"/>
        <v>0</v>
      </c>
      <c r="I87" s="102">
        <f t="shared" si="5"/>
        <v>0</v>
      </c>
      <c r="K87" s="97"/>
      <c r="L87" s="148">
        <f>Table1354[[#This Row],[Total]]</f>
        <v>0</v>
      </c>
    </row>
    <row r="88" spans="3:12" ht="16" x14ac:dyDescent="0.35">
      <c r="C88" s="121"/>
      <c r="D88" s="122"/>
      <c r="E88" s="122"/>
      <c r="F88" s="136"/>
      <c r="G88" s="126" t="s">
        <v>794</v>
      </c>
      <c r="H88" s="123">
        <f>SUM(H82:H87)</f>
        <v>0</v>
      </c>
      <c r="I88" s="124">
        <f t="shared" si="5"/>
        <v>0</v>
      </c>
      <c r="K88" s="125"/>
      <c r="L88" s="123">
        <f>SUM(L82:L87)</f>
        <v>0</v>
      </c>
    </row>
    <row r="89" spans="3:12" ht="18" thickBot="1" x14ac:dyDescent="0.4">
      <c r="C89" s="118"/>
      <c r="D89" s="119"/>
      <c r="E89" s="119"/>
      <c r="F89" s="137"/>
      <c r="G89" s="119" t="s">
        <v>795</v>
      </c>
      <c r="H89" s="120">
        <f>SUM(H64,H66,H74,H81,H88)</f>
        <v>0</v>
      </c>
      <c r="I89" s="127">
        <f t="shared" si="5"/>
        <v>0</v>
      </c>
      <c r="K89" s="140"/>
      <c r="L89" s="120">
        <f>SUM(L64,L66,L74,L81,L88)</f>
        <v>0</v>
      </c>
    </row>
    <row r="90" spans="3:12" ht="17.5" x14ac:dyDescent="0.35">
      <c r="C90" s="116" t="s">
        <v>796</v>
      </c>
      <c r="D90" s="117"/>
      <c r="E90" s="117"/>
      <c r="F90" s="138"/>
      <c r="G90" s="117"/>
      <c r="H90" s="128"/>
      <c r="I90" s="129"/>
      <c r="K90" s="141"/>
      <c r="L90" s="149"/>
    </row>
    <row r="91" spans="3:12" ht="13.5" x14ac:dyDescent="0.25">
      <c r="C91" s="97" t="s">
        <v>21</v>
      </c>
      <c r="D91" s="98" t="s">
        <v>206</v>
      </c>
      <c r="E91" s="98">
        <v>1</v>
      </c>
      <c r="F91" s="135" t="s">
        <v>72</v>
      </c>
      <c r="G91" s="100">
        <v>0</v>
      </c>
      <c r="H91" s="101">
        <f t="shared" ref="H91:H99" si="6">E91*G91</f>
        <v>0</v>
      </c>
      <c r="I91" s="102">
        <f t="shared" ref="I91:I100" si="7">IF($I$4=0, 0, H91/$I$4)</f>
        <v>0</v>
      </c>
      <c r="K91" s="142"/>
      <c r="L91" s="148">
        <f>Table1354[[#This Row],[Total]]</f>
        <v>0</v>
      </c>
    </row>
    <row r="92" spans="3:12" ht="13.5" x14ac:dyDescent="0.25">
      <c r="C92" s="97" t="s">
        <v>21</v>
      </c>
      <c r="D92" s="98" t="s">
        <v>22</v>
      </c>
      <c r="E92" s="98">
        <v>2050</v>
      </c>
      <c r="F92" s="135" t="s">
        <v>23</v>
      </c>
      <c r="G92" s="100">
        <v>0</v>
      </c>
      <c r="H92" s="101">
        <f t="shared" si="6"/>
        <v>0</v>
      </c>
      <c r="I92" s="102">
        <f t="shared" si="7"/>
        <v>0</v>
      </c>
      <c r="K92" s="97"/>
      <c r="L92" s="148">
        <f>Table1354[[#This Row],[Total]]</f>
        <v>0</v>
      </c>
    </row>
    <row r="93" spans="3:12" ht="13.5" x14ac:dyDescent="0.25">
      <c r="C93" s="97" t="s">
        <v>21</v>
      </c>
      <c r="D93" s="98" t="s">
        <v>24</v>
      </c>
      <c r="E93" s="98">
        <v>96</v>
      </c>
      <c r="F93" s="135" t="s">
        <v>25</v>
      </c>
      <c r="G93" s="100">
        <v>0</v>
      </c>
      <c r="H93" s="101">
        <f t="shared" si="6"/>
        <v>0</v>
      </c>
      <c r="I93" s="102">
        <f t="shared" si="7"/>
        <v>0</v>
      </c>
      <c r="K93" s="97"/>
      <c r="L93" s="148">
        <f>Table1354[[#This Row],[Total]]</f>
        <v>0</v>
      </c>
    </row>
    <row r="94" spans="3:12" ht="13.5" x14ac:dyDescent="0.25">
      <c r="C94" s="97" t="s">
        <v>21</v>
      </c>
      <c r="D94" s="98" t="s">
        <v>26</v>
      </c>
      <c r="E94" s="98">
        <v>18000</v>
      </c>
      <c r="F94" s="135" t="s">
        <v>27</v>
      </c>
      <c r="G94" s="100">
        <v>0</v>
      </c>
      <c r="H94" s="101">
        <f t="shared" si="6"/>
        <v>0</v>
      </c>
      <c r="I94" s="102">
        <f t="shared" si="7"/>
        <v>0</v>
      </c>
      <c r="K94" s="97"/>
      <c r="L94" s="148">
        <f>Table1354[[#This Row],[Total]]</f>
        <v>0</v>
      </c>
    </row>
    <row r="95" spans="3:12" ht="13.5" x14ac:dyDescent="0.25">
      <c r="C95" s="97" t="s">
        <v>21</v>
      </c>
      <c r="D95" s="98" t="s">
        <v>28</v>
      </c>
      <c r="E95" s="98">
        <v>60000</v>
      </c>
      <c r="F95" s="135" t="s">
        <v>27</v>
      </c>
      <c r="G95" s="100">
        <v>0</v>
      </c>
      <c r="H95" s="101">
        <f t="shared" si="6"/>
        <v>0</v>
      </c>
      <c r="I95" s="102">
        <f t="shared" si="7"/>
        <v>0</v>
      </c>
      <c r="K95" s="97"/>
      <c r="L95" s="148">
        <f>Table1354[[#This Row],[Total]]</f>
        <v>0</v>
      </c>
    </row>
    <row r="96" spans="3:12" ht="13.5" x14ac:dyDescent="0.25">
      <c r="C96" s="97" t="s">
        <v>21</v>
      </c>
      <c r="D96" s="98" t="s">
        <v>208</v>
      </c>
      <c r="E96" s="98">
        <v>704</v>
      </c>
      <c r="F96" s="135" t="s">
        <v>27</v>
      </c>
      <c r="G96" s="100">
        <v>0</v>
      </c>
      <c r="H96" s="101">
        <f t="shared" si="6"/>
        <v>0</v>
      </c>
      <c r="I96" s="102">
        <f t="shared" si="7"/>
        <v>0</v>
      </c>
      <c r="K96" s="97"/>
      <c r="L96" s="148">
        <f>Table1354[[#This Row],[Total]]</f>
        <v>0</v>
      </c>
    </row>
    <row r="97" spans="3:12" ht="13.5" x14ac:dyDescent="0.25">
      <c r="C97" s="97" t="s">
        <v>21</v>
      </c>
      <c r="D97" s="98" t="s">
        <v>209</v>
      </c>
      <c r="E97" s="98">
        <v>1</v>
      </c>
      <c r="F97" s="135" t="s">
        <v>27</v>
      </c>
      <c r="G97" s="100">
        <v>0</v>
      </c>
      <c r="H97" s="101">
        <f t="shared" si="6"/>
        <v>0</v>
      </c>
      <c r="I97" s="102">
        <f t="shared" si="7"/>
        <v>0</v>
      </c>
      <c r="K97" s="97"/>
      <c r="L97" s="148">
        <f>Table1354[[#This Row],[Total]]</f>
        <v>0</v>
      </c>
    </row>
    <row r="98" spans="3:12" ht="13.5" x14ac:dyDescent="0.25">
      <c r="C98" s="97" t="s">
        <v>21</v>
      </c>
      <c r="D98" s="98" t="s">
        <v>210</v>
      </c>
      <c r="E98" s="98">
        <v>1</v>
      </c>
      <c r="F98" s="135" t="s">
        <v>27</v>
      </c>
      <c r="G98" s="100">
        <v>0</v>
      </c>
      <c r="H98" s="101">
        <f t="shared" si="6"/>
        <v>0</v>
      </c>
      <c r="I98" s="102">
        <f t="shared" si="7"/>
        <v>0</v>
      </c>
      <c r="K98" s="97"/>
      <c r="L98" s="148">
        <f>Table1354[[#This Row],[Total]]</f>
        <v>0</v>
      </c>
    </row>
    <row r="99" spans="3:12" ht="13.5" x14ac:dyDescent="0.25">
      <c r="C99" s="97" t="s">
        <v>21</v>
      </c>
      <c r="D99" s="98" t="s">
        <v>250</v>
      </c>
      <c r="E99" s="98">
        <v>10</v>
      </c>
      <c r="F99" s="135" t="s">
        <v>27</v>
      </c>
      <c r="G99" s="100">
        <v>0</v>
      </c>
      <c r="H99" s="101">
        <f t="shared" si="6"/>
        <v>0</v>
      </c>
      <c r="I99" s="102">
        <f t="shared" si="7"/>
        <v>0</v>
      </c>
      <c r="K99" s="97"/>
      <c r="L99" s="148">
        <f>Table1354[[#This Row],[Total]]</f>
        <v>0</v>
      </c>
    </row>
    <row r="100" spans="3:12" ht="16" x14ac:dyDescent="0.35">
      <c r="C100" s="121"/>
      <c r="D100" s="122"/>
      <c r="E100" s="122"/>
      <c r="F100" s="136"/>
      <c r="G100" s="126" t="s">
        <v>797</v>
      </c>
      <c r="H100" s="123">
        <f>SUM(H91:H99)</f>
        <v>0</v>
      </c>
      <c r="I100" s="124">
        <f t="shared" si="7"/>
        <v>0</v>
      </c>
      <c r="K100" s="144"/>
      <c r="L100" s="123">
        <f>SUM(L91:L99)</f>
        <v>0</v>
      </c>
    </row>
    <row r="101" spans="3:12" ht="13.5" x14ac:dyDescent="0.25">
      <c r="C101" s="97" t="s">
        <v>211</v>
      </c>
      <c r="D101" s="98" t="s">
        <v>212</v>
      </c>
      <c r="E101" s="98">
        <v>0</v>
      </c>
      <c r="F101" s="135" t="s">
        <v>27</v>
      </c>
      <c r="G101" s="100">
        <v>0</v>
      </c>
      <c r="H101" s="101">
        <f>E101*G101</f>
        <v>0</v>
      </c>
      <c r="I101" s="102">
        <f>IF($I$4=0, 0, H101/$I$4)</f>
        <v>0</v>
      </c>
      <c r="K101" s="97"/>
      <c r="L101" s="148">
        <f>Table1354[[#This Row],[Total]]</f>
        <v>0</v>
      </c>
    </row>
    <row r="102" spans="3:12" ht="16" x14ac:dyDescent="0.35">
      <c r="C102" s="121"/>
      <c r="D102" s="122"/>
      <c r="E102" s="122"/>
      <c r="F102" s="136"/>
      <c r="G102" s="126" t="s">
        <v>798</v>
      </c>
      <c r="H102" s="123">
        <f>SUM(H101)</f>
        <v>0</v>
      </c>
      <c r="I102" s="124">
        <f t="shared" ref="I102" si="8">IF($I$4=0, 0, H102/$I$4)</f>
        <v>0</v>
      </c>
      <c r="K102" s="144"/>
      <c r="L102" s="123">
        <f>SUM(L101)</f>
        <v>0</v>
      </c>
    </row>
    <row r="103" spans="3:12" ht="13.5" x14ac:dyDescent="0.25">
      <c r="C103" s="97" t="s">
        <v>31</v>
      </c>
      <c r="D103" s="98" t="s">
        <v>32</v>
      </c>
      <c r="E103" s="98">
        <v>120000</v>
      </c>
      <c r="F103" s="135" t="s">
        <v>27</v>
      </c>
      <c r="G103" s="100">
        <v>0</v>
      </c>
      <c r="H103" s="101">
        <f>E103*G103</f>
        <v>0</v>
      </c>
      <c r="I103" s="102">
        <f>IF($I$4=0, 0, H103/$I$4)</f>
        <v>0</v>
      </c>
      <c r="K103" s="97"/>
      <c r="L103" s="148">
        <f>Table1354[[#This Row],[Total]]</f>
        <v>0</v>
      </c>
    </row>
    <row r="104" spans="3:12" ht="13.5" x14ac:dyDescent="0.25">
      <c r="C104" s="97" t="s">
        <v>213</v>
      </c>
      <c r="D104" s="98" t="s">
        <v>214</v>
      </c>
      <c r="E104" s="98">
        <v>0</v>
      </c>
      <c r="F104" s="135" t="s">
        <v>27</v>
      </c>
      <c r="G104" s="100">
        <v>0</v>
      </c>
      <c r="H104" s="101">
        <f>E104*G104</f>
        <v>0</v>
      </c>
      <c r="I104" s="102">
        <f>IF($I$4=0, 0, H104/$I$4)</f>
        <v>0</v>
      </c>
      <c r="K104" s="97"/>
      <c r="L104" s="148">
        <f>Table1354[[#This Row],[Total]]</f>
        <v>0</v>
      </c>
    </row>
    <row r="105" spans="3:12" ht="16" x14ac:dyDescent="0.35">
      <c r="C105" s="121"/>
      <c r="D105" s="122"/>
      <c r="E105" s="122"/>
      <c r="F105" s="136"/>
      <c r="G105" s="126" t="s">
        <v>799</v>
      </c>
      <c r="H105" s="123">
        <f>SUM(H103:H104)</f>
        <v>0</v>
      </c>
      <c r="I105" s="124">
        <f t="shared" ref="I105:I109" si="9">IF($I$4=0, 0, H105/$I$4)</f>
        <v>0</v>
      </c>
      <c r="K105" s="145"/>
      <c r="L105" s="123">
        <f>SUM(L103:L104)</f>
        <v>0</v>
      </c>
    </row>
    <row r="106" spans="3:12" ht="13.5" x14ac:dyDescent="0.25">
      <c r="C106" s="97" t="s">
        <v>33</v>
      </c>
      <c r="D106" s="98" t="s">
        <v>34</v>
      </c>
      <c r="E106" s="98">
        <v>300000</v>
      </c>
      <c r="F106" s="135" t="s">
        <v>27</v>
      </c>
      <c r="G106" s="100">
        <v>0</v>
      </c>
      <c r="H106" s="101">
        <f t="shared" ref="H106:H107" si="10">E106*G106</f>
        <v>0</v>
      </c>
      <c r="I106" s="102">
        <f t="shared" si="9"/>
        <v>0</v>
      </c>
      <c r="K106" s="97"/>
      <c r="L106" s="148">
        <f>Table1354[[#This Row],[Total]]</f>
        <v>0</v>
      </c>
    </row>
    <row r="107" spans="3:12" ht="13.5" x14ac:dyDescent="0.25">
      <c r="C107" s="97" t="s">
        <v>33</v>
      </c>
      <c r="D107" s="98" t="s">
        <v>215</v>
      </c>
      <c r="E107" s="98">
        <v>0</v>
      </c>
      <c r="F107" s="135" t="s">
        <v>27</v>
      </c>
      <c r="G107" s="100">
        <v>0</v>
      </c>
      <c r="H107" s="101">
        <f t="shared" si="10"/>
        <v>0</v>
      </c>
      <c r="I107" s="102">
        <f t="shared" si="9"/>
        <v>0</v>
      </c>
      <c r="K107" s="97"/>
      <c r="L107" s="148">
        <f>Table1354[[#This Row],[Total]]</f>
        <v>0</v>
      </c>
    </row>
    <row r="108" spans="3:12" ht="16" x14ac:dyDescent="0.35">
      <c r="C108" s="121"/>
      <c r="D108" s="122"/>
      <c r="E108" s="122"/>
      <c r="F108" s="136"/>
      <c r="G108" s="126" t="s">
        <v>800</v>
      </c>
      <c r="H108" s="123">
        <f>SUM(H106:H107)</f>
        <v>0</v>
      </c>
      <c r="I108" s="124">
        <f t="shared" si="9"/>
        <v>0</v>
      </c>
      <c r="K108" s="125"/>
      <c r="L108" s="123">
        <f>SUM(L106:L107)</f>
        <v>0</v>
      </c>
    </row>
    <row r="109" spans="3:12" ht="18" thickBot="1" x14ac:dyDescent="0.4">
      <c r="C109" s="118"/>
      <c r="D109" s="119"/>
      <c r="E109" s="119"/>
      <c r="F109" s="137"/>
      <c r="G109" s="119" t="s">
        <v>801</v>
      </c>
      <c r="H109" s="120">
        <f>SUM(H100,H102,H105,H108)</f>
        <v>0</v>
      </c>
      <c r="I109" s="127">
        <f t="shared" si="9"/>
        <v>0</v>
      </c>
      <c r="K109" s="140"/>
      <c r="L109" s="120">
        <f>SUM(L100,L102,L105,L108)</f>
        <v>0</v>
      </c>
    </row>
    <row r="110" spans="3:12" ht="18" thickBot="1" x14ac:dyDescent="0.4">
      <c r="C110" s="116" t="s">
        <v>802</v>
      </c>
      <c r="D110" s="117"/>
      <c r="E110" s="117"/>
      <c r="F110" s="138"/>
      <c r="G110" s="117"/>
      <c r="H110" s="128"/>
      <c r="I110" s="129"/>
      <c r="K110" s="141"/>
      <c r="L110" s="149"/>
    </row>
    <row r="111" spans="3:12" ht="13.5" x14ac:dyDescent="0.25">
      <c r="C111" s="97" t="s">
        <v>35</v>
      </c>
      <c r="D111" s="98" t="s">
        <v>803</v>
      </c>
      <c r="E111" s="98">
        <v>30000</v>
      </c>
      <c r="F111" s="135" t="s">
        <v>27</v>
      </c>
      <c r="G111" s="100">
        <v>0</v>
      </c>
      <c r="H111" s="101">
        <f t="shared" ref="H111:H113" si="11">E111*G111</f>
        <v>0</v>
      </c>
      <c r="I111" s="102">
        <f t="shared" ref="I111:I115" si="12">IF($I$4=0, 0, H111/$I$4)</f>
        <v>0</v>
      </c>
      <c r="K111" s="143"/>
      <c r="L111" s="148">
        <f>Table1354[[#This Row],[Total]]</f>
        <v>0</v>
      </c>
    </row>
    <row r="112" spans="3:12" ht="13.5" x14ac:dyDescent="0.25">
      <c r="C112" s="97" t="s">
        <v>35</v>
      </c>
      <c r="D112" s="98" t="s">
        <v>804</v>
      </c>
      <c r="E112" s="98">
        <v>0</v>
      </c>
      <c r="F112" s="135" t="s">
        <v>27</v>
      </c>
      <c r="G112" s="100">
        <v>0</v>
      </c>
      <c r="H112" s="101">
        <f t="shared" si="11"/>
        <v>0</v>
      </c>
      <c r="I112" s="102">
        <f t="shared" si="12"/>
        <v>0</v>
      </c>
      <c r="K112" s="97"/>
      <c r="L112" s="148">
        <f>Table1354[[#This Row],[Total]]</f>
        <v>0</v>
      </c>
    </row>
    <row r="113" spans="3:12" ht="13.5" x14ac:dyDescent="0.25">
      <c r="C113" s="97" t="s">
        <v>35</v>
      </c>
      <c r="D113" s="98" t="s">
        <v>36</v>
      </c>
      <c r="E113" s="98">
        <v>33075</v>
      </c>
      <c r="F113" s="135" t="s">
        <v>27</v>
      </c>
      <c r="G113" s="100">
        <v>0</v>
      </c>
      <c r="H113" s="101">
        <f t="shared" si="11"/>
        <v>0</v>
      </c>
      <c r="I113" s="102">
        <f t="shared" si="12"/>
        <v>0</v>
      </c>
      <c r="K113" s="97"/>
      <c r="L113" s="148">
        <f>Table1354[[#This Row],[Total]]</f>
        <v>0</v>
      </c>
    </row>
    <row r="114" spans="3:12" ht="16" x14ac:dyDescent="0.35">
      <c r="C114" s="121"/>
      <c r="D114" s="122"/>
      <c r="E114" s="122"/>
      <c r="F114" s="136"/>
      <c r="G114" s="126" t="s">
        <v>805</v>
      </c>
      <c r="H114" s="123">
        <f>SUM(H111:H113)</f>
        <v>0</v>
      </c>
      <c r="I114" s="124">
        <f t="shared" si="12"/>
        <v>0</v>
      </c>
      <c r="K114" s="125"/>
      <c r="L114" s="123">
        <f>SUM(L111:L113)</f>
        <v>0</v>
      </c>
    </row>
    <row r="115" spans="3:12" ht="18" thickBot="1" x14ac:dyDescent="0.4">
      <c r="C115" s="118"/>
      <c r="D115" s="119"/>
      <c r="E115" s="119"/>
      <c r="F115" s="137"/>
      <c r="G115" s="119" t="s">
        <v>806</v>
      </c>
      <c r="H115" s="120">
        <f>SUM(H114)</f>
        <v>0</v>
      </c>
      <c r="I115" s="127">
        <f t="shared" si="12"/>
        <v>0</v>
      </c>
      <c r="K115" s="140"/>
      <c r="L115" s="120">
        <f>SUM(L114)</f>
        <v>0</v>
      </c>
    </row>
    <row r="116" spans="3:12" ht="17.5" x14ac:dyDescent="0.35">
      <c r="C116" s="116" t="s">
        <v>807</v>
      </c>
      <c r="D116" s="117"/>
      <c r="E116" s="117"/>
      <c r="F116" s="138"/>
      <c r="G116" s="117"/>
      <c r="H116" s="128"/>
      <c r="I116" s="129"/>
      <c r="K116" s="141"/>
      <c r="L116" s="149"/>
    </row>
    <row r="117" spans="3:12" ht="13.5" x14ac:dyDescent="0.25">
      <c r="C117" s="97" t="s">
        <v>217</v>
      </c>
      <c r="D117" s="98" t="s">
        <v>218</v>
      </c>
      <c r="E117" s="98">
        <v>1</v>
      </c>
      <c r="F117" s="135" t="s">
        <v>72</v>
      </c>
      <c r="G117" s="100">
        <v>0</v>
      </c>
      <c r="H117" s="101">
        <f t="shared" ref="H117:H123" si="13">E117*G117</f>
        <v>0</v>
      </c>
      <c r="I117" s="102">
        <f t="shared" ref="I117:I125" si="14">IF($I$4=0, 0, H117/$I$4)</f>
        <v>0</v>
      </c>
      <c r="K117" s="97"/>
      <c r="L117" s="148">
        <f>Table1354[[#This Row],[Total]]</f>
        <v>0</v>
      </c>
    </row>
    <row r="118" spans="3:12" ht="13.5" x14ac:dyDescent="0.25">
      <c r="C118" s="97" t="s">
        <v>219</v>
      </c>
      <c r="D118" s="98" t="s">
        <v>220</v>
      </c>
      <c r="E118" s="98">
        <v>1</v>
      </c>
      <c r="F118" s="135" t="s">
        <v>72</v>
      </c>
      <c r="G118" s="100">
        <v>0</v>
      </c>
      <c r="H118" s="101">
        <f t="shared" si="13"/>
        <v>0</v>
      </c>
      <c r="I118" s="102">
        <f t="shared" si="14"/>
        <v>0</v>
      </c>
      <c r="K118" s="97"/>
      <c r="L118" s="148">
        <f>Table1354[[#This Row],[Total]]</f>
        <v>0</v>
      </c>
    </row>
    <row r="119" spans="3:12" ht="13.5" x14ac:dyDescent="0.25">
      <c r="C119" s="97" t="s">
        <v>221</v>
      </c>
      <c r="D119" s="98" t="s">
        <v>222</v>
      </c>
      <c r="E119" s="98">
        <v>150</v>
      </c>
      <c r="F119" s="135" t="s">
        <v>25</v>
      </c>
      <c r="G119" s="100">
        <v>0</v>
      </c>
      <c r="H119" s="101">
        <f t="shared" si="13"/>
        <v>0</v>
      </c>
      <c r="I119" s="102">
        <f t="shared" si="14"/>
        <v>0</v>
      </c>
      <c r="K119" s="97"/>
      <c r="L119" s="148">
        <f>Table1354[[#This Row],[Total]]</f>
        <v>0</v>
      </c>
    </row>
    <row r="120" spans="3:12" ht="13.5" x14ac:dyDescent="0.25">
      <c r="C120" s="97" t="s">
        <v>221</v>
      </c>
      <c r="D120" s="98" t="s">
        <v>223</v>
      </c>
      <c r="E120" s="98">
        <v>5</v>
      </c>
      <c r="F120" s="135" t="s">
        <v>25</v>
      </c>
      <c r="G120" s="100">
        <v>0</v>
      </c>
      <c r="H120" s="101">
        <f t="shared" si="13"/>
        <v>0</v>
      </c>
      <c r="I120" s="102">
        <f t="shared" si="14"/>
        <v>0</v>
      </c>
      <c r="K120" s="97"/>
      <c r="L120" s="148">
        <f>Table1354[[#This Row],[Total]]</f>
        <v>0</v>
      </c>
    </row>
    <row r="121" spans="3:12" ht="13.5" x14ac:dyDescent="0.25">
      <c r="C121" s="97" t="s">
        <v>221</v>
      </c>
      <c r="D121" s="98" t="s">
        <v>808</v>
      </c>
      <c r="E121" s="98">
        <v>5</v>
      </c>
      <c r="F121" s="135" t="s">
        <v>25</v>
      </c>
      <c r="G121" s="100">
        <v>0</v>
      </c>
      <c r="H121" s="101">
        <f t="shared" si="13"/>
        <v>0</v>
      </c>
      <c r="I121" s="102">
        <f t="shared" si="14"/>
        <v>0</v>
      </c>
      <c r="K121" s="97"/>
      <c r="L121" s="148">
        <f>Table1354[[#This Row],[Total]]</f>
        <v>0</v>
      </c>
    </row>
    <row r="122" spans="3:12" ht="13.5" x14ac:dyDescent="0.25">
      <c r="C122" s="97" t="s">
        <v>221</v>
      </c>
      <c r="D122" s="98" t="s">
        <v>224</v>
      </c>
      <c r="E122" s="98">
        <v>15</v>
      </c>
      <c r="F122" s="135" t="s">
        <v>23</v>
      </c>
      <c r="G122" s="100">
        <v>0</v>
      </c>
      <c r="H122" s="101">
        <f t="shared" si="13"/>
        <v>0</v>
      </c>
      <c r="I122" s="102">
        <f t="shared" si="14"/>
        <v>0</v>
      </c>
      <c r="K122" s="97"/>
      <c r="L122" s="148">
        <f>Table1354[[#This Row],[Total]]</f>
        <v>0</v>
      </c>
    </row>
    <row r="123" spans="3:12" ht="13.5" x14ac:dyDescent="0.25">
      <c r="C123" s="97" t="s">
        <v>221</v>
      </c>
      <c r="D123" s="98" t="s">
        <v>225</v>
      </c>
      <c r="E123" s="98">
        <v>150</v>
      </c>
      <c r="F123" s="135" t="s">
        <v>25</v>
      </c>
      <c r="G123" s="100">
        <v>0</v>
      </c>
      <c r="H123" s="101">
        <f t="shared" si="13"/>
        <v>0</v>
      </c>
      <c r="I123" s="102">
        <f t="shared" si="14"/>
        <v>0</v>
      </c>
      <c r="K123" s="97"/>
      <c r="L123" s="148">
        <f>Table1354[[#This Row],[Total]]</f>
        <v>0</v>
      </c>
    </row>
    <row r="124" spans="3:12" ht="16" x14ac:dyDescent="0.35">
      <c r="C124" s="121"/>
      <c r="D124" s="122"/>
      <c r="E124" s="122"/>
      <c r="F124" s="136"/>
      <c r="G124" s="126" t="s">
        <v>809</v>
      </c>
      <c r="H124" s="123">
        <f>SUM(H117:H123)</f>
        <v>0</v>
      </c>
      <c r="I124" s="124">
        <f t="shared" si="14"/>
        <v>0</v>
      </c>
      <c r="K124" s="125"/>
      <c r="L124" s="123">
        <f>SUM(L117:L123)</f>
        <v>0</v>
      </c>
    </row>
    <row r="125" spans="3:12" ht="18" thickBot="1" x14ac:dyDescent="0.4">
      <c r="C125" s="118"/>
      <c r="D125" s="119"/>
      <c r="E125" s="119"/>
      <c r="F125" s="137"/>
      <c r="G125" s="119" t="s">
        <v>810</v>
      </c>
      <c r="H125" s="120">
        <f>SUM(H124)</f>
        <v>0</v>
      </c>
      <c r="I125" s="127">
        <f t="shared" si="14"/>
        <v>0</v>
      </c>
      <c r="K125" s="140"/>
      <c r="L125" s="120">
        <f>SUM(L124)</f>
        <v>0</v>
      </c>
    </row>
    <row r="126" spans="3:12" ht="17.5" x14ac:dyDescent="0.35">
      <c r="C126" s="116" t="s">
        <v>811</v>
      </c>
      <c r="D126" s="117"/>
      <c r="E126" s="117"/>
      <c r="F126" s="138"/>
      <c r="G126" s="117"/>
      <c r="H126" s="128"/>
      <c r="I126" s="129"/>
      <c r="K126" s="141"/>
      <c r="L126" s="149"/>
    </row>
    <row r="127" spans="3:12" ht="13.5" x14ac:dyDescent="0.25">
      <c r="C127" s="97" t="s">
        <v>37</v>
      </c>
      <c r="D127" s="98" t="s">
        <v>812</v>
      </c>
      <c r="E127" s="98">
        <v>300000</v>
      </c>
      <c r="F127" s="135" t="s">
        <v>27</v>
      </c>
      <c r="G127" s="100">
        <v>0</v>
      </c>
      <c r="H127" s="101">
        <f t="shared" ref="H127:H131" si="15">E127*G127</f>
        <v>0</v>
      </c>
      <c r="I127" s="102">
        <f t="shared" ref="I127:I143" si="16">IF($I$4=0, 0, H127/$I$4)</f>
        <v>0</v>
      </c>
      <c r="K127" s="97"/>
      <c r="L127" s="148">
        <f>Table1354[[#This Row],[Total]]</f>
        <v>0</v>
      </c>
    </row>
    <row r="128" spans="3:12" ht="13.5" x14ac:dyDescent="0.25">
      <c r="C128" s="97" t="s">
        <v>226</v>
      </c>
      <c r="D128" s="98" t="s">
        <v>227</v>
      </c>
      <c r="E128" s="98">
        <v>1</v>
      </c>
      <c r="F128" s="135" t="s">
        <v>72</v>
      </c>
      <c r="G128" s="100">
        <v>0</v>
      </c>
      <c r="H128" s="101">
        <f t="shared" si="15"/>
        <v>0</v>
      </c>
      <c r="I128" s="102">
        <f t="shared" si="16"/>
        <v>0</v>
      </c>
      <c r="K128" s="97"/>
      <c r="L128" s="148">
        <f>Table1354[[#This Row],[Total]]</f>
        <v>0</v>
      </c>
    </row>
    <row r="129" spans="3:12" ht="13.5" x14ac:dyDescent="0.25">
      <c r="C129" s="97" t="s">
        <v>228</v>
      </c>
      <c r="D129" s="98" t="s">
        <v>229</v>
      </c>
      <c r="E129" s="98">
        <v>1</v>
      </c>
      <c r="F129" s="135" t="s">
        <v>72</v>
      </c>
      <c r="G129" s="100">
        <v>0</v>
      </c>
      <c r="H129" s="101">
        <f t="shared" si="15"/>
        <v>0</v>
      </c>
      <c r="I129" s="102">
        <f t="shared" si="16"/>
        <v>0</v>
      </c>
      <c r="K129" s="97"/>
      <c r="L129" s="148">
        <f>Table1354[[#This Row],[Total]]</f>
        <v>0</v>
      </c>
    </row>
    <row r="130" spans="3:12" ht="13.5" x14ac:dyDescent="0.25">
      <c r="C130" s="97" t="s">
        <v>230</v>
      </c>
      <c r="D130" s="98" t="s">
        <v>231</v>
      </c>
      <c r="E130" s="98">
        <v>1</v>
      </c>
      <c r="F130" s="135" t="s">
        <v>72</v>
      </c>
      <c r="G130" s="100">
        <v>0</v>
      </c>
      <c r="H130" s="101">
        <f t="shared" si="15"/>
        <v>0</v>
      </c>
      <c r="I130" s="102">
        <f t="shared" si="16"/>
        <v>0</v>
      </c>
      <c r="K130" s="97"/>
      <c r="L130" s="148">
        <f>Table1354[[#This Row],[Total]]</f>
        <v>0</v>
      </c>
    </row>
    <row r="131" spans="3:12" ht="13.5" x14ac:dyDescent="0.25">
      <c r="C131" s="97" t="s">
        <v>232</v>
      </c>
      <c r="D131" s="98" t="s">
        <v>233</v>
      </c>
      <c r="E131" s="98">
        <v>0</v>
      </c>
      <c r="F131" s="135" t="s">
        <v>72</v>
      </c>
      <c r="G131" s="100">
        <v>0</v>
      </c>
      <c r="H131" s="101">
        <f t="shared" si="15"/>
        <v>0</v>
      </c>
      <c r="I131" s="102">
        <f t="shared" si="16"/>
        <v>0</v>
      </c>
      <c r="K131" s="97"/>
      <c r="L131" s="148">
        <f>Table1354[[#This Row],[Total]]</f>
        <v>0</v>
      </c>
    </row>
    <row r="132" spans="3:12" ht="16" x14ac:dyDescent="0.35">
      <c r="C132" s="121"/>
      <c r="D132" s="122"/>
      <c r="E132" s="122"/>
      <c r="F132" s="136"/>
      <c r="G132" s="126" t="s">
        <v>813</v>
      </c>
      <c r="H132" s="123">
        <f>SUM(H127:H131)</f>
        <v>0</v>
      </c>
      <c r="I132" s="124">
        <f t="shared" si="16"/>
        <v>0</v>
      </c>
      <c r="K132" s="125"/>
      <c r="L132" s="123">
        <f>SUM(L127:L131)</f>
        <v>0</v>
      </c>
    </row>
    <row r="133" spans="3:12" ht="13.5" x14ac:dyDescent="0.25">
      <c r="C133" s="97" t="s">
        <v>234</v>
      </c>
      <c r="D133" s="98" t="s">
        <v>814</v>
      </c>
      <c r="E133" s="98">
        <v>100</v>
      </c>
      <c r="F133" s="135" t="s">
        <v>25</v>
      </c>
      <c r="G133" s="100">
        <v>0</v>
      </c>
      <c r="H133" s="101">
        <f t="shared" ref="H133:H138" si="17">E133*G133</f>
        <v>0</v>
      </c>
      <c r="I133" s="102">
        <f t="shared" si="16"/>
        <v>0</v>
      </c>
      <c r="K133" s="97"/>
      <c r="L133" s="148">
        <f>Table1354[[#This Row],[Total]]</f>
        <v>0</v>
      </c>
    </row>
    <row r="134" spans="3:12" ht="13.5" x14ac:dyDescent="0.25">
      <c r="C134" s="97" t="s">
        <v>236</v>
      </c>
      <c r="D134" s="98" t="s">
        <v>237</v>
      </c>
      <c r="E134" s="98">
        <v>100</v>
      </c>
      <c r="F134" s="135" t="s">
        <v>25</v>
      </c>
      <c r="G134" s="100">
        <v>0</v>
      </c>
      <c r="H134" s="101">
        <f t="shared" si="17"/>
        <v>0</v>
      </c>
      <c r="I134" s="102">
        <f t="shared" si="16"/>
        <v>0</v>
      </c>
      <c r="K134" s="97"/>
      <c r="L134" s="148">
        <f>Table1354[[#This Row],[Total]]</f>
        <v>0</v>
      </c>
    </row>
    <row r="135" spans="3:12" ht="13.5" x14ac:dyDescent="0.25">
      <c r="C135" s="97" t="s">
        <v>238</v>
      </c>
      <c r="D135" s="98" t="s">
        <v>815</v>
      </c>
      <c r="E135" s="98">
        <v>1</v>
      </c>
      <c r="F135" s="135" t="s">
        <v>72</v>
      </c>
      <c r="G135" s="100">
        <v>0</v>
      </c>
      <c r="H135" s="101">
        <f t="shared" si="17"/>
        <v>0</v>
      </c>
      <c r="I135" s="102">
        <f t="shared" si="16"/>
        <v>0</v>
      </c>
      <c r="K135" s="97"/>
      <c r="L135" s="148">
        <f>Table1354[[#This Row],[Total]]</f>
        <v>0</v>
      </c>
    </row>
    <row r="136" spans="3:12" ht="13.5" x14ac:dyDescent="0.25">
      <c r="C136" s="97" t="s">
        <v>239</v>
      </c>
      <c r="D136" s="98" t="s">
        <v>240</v>
      </c>
      <c r="E136" s="98">
        <v>0</v>
      </c>
      <c r="F136" s="135" t="s">
        <v>72</v>
      </c>
      <c r="G136" s="100">
        <v>0</v>
      </c>
      <c r="H136" s="101">
        <f t="shared" si="17"/>
        <v>0</v>
      </c>
      <c r="I136" s="102">
        <f t="shared" si="16"/>
        <v>0</v>
      </c>
      <c r="K136" s="97"/>
      <c r="L136" s="148">
        <f>Table1354[[#This Row],[Total]]</f>
        <v>0</v>
      </c>
    </row>
    <row r="137" spans="3:12" ht="13.5" x14ac:dyDescent="0.25">
      <c r="C137" s="97" t="s">
        <v>241</v>
      </c>
      <c r="D137" s="98" t="s">
        <v>242</v>
      </c>
      <c r="E137" s="98">
        <v>1</v>
      </c>
      <c r="F137" s="135" t="s">
        <v>72</v>
      </c>
      <c r="G137" s="100">
        <v>0</v>
      </c>
      <c r="H137" s="101">
        <f t="shared" si="17"/>
        <v>0</v>
      </c>
      <c r="I137" s="102">
        <f t="shared" si="16"/>
        <v>0</v>
      </c>
      <c r="K137" s="97"/>
      <c r="L137" s="148">
        <f>Table1354[[#This Row],[Total]]</f>
        <v>0</v>
      </c>
    </row>
    <row r="138" spans="3:12" ht="13.5" x14ac:dyDescent="0.25">
      <c r="C138" s="97" t="s">
        <v>243</v>
      </c>
      <c r="D138" s="98" t="s">
        <v>816</v>
      </c>
      <c r="E138" s="98">
        <v>0</v>
      </c>
      <c r="F138" s="135" t="s">
        <v>72</v>
      </c>
      <c r="G138" s="100">
        <v>0</v>
      </c>
      <c r="H138" s="101">
        <f t="shared" si="17"/>
        <v>0</v>
      </c>
      <c r="I138" s="102">
        <f t="shared" si="16"/>
        <v>0</v>
      </c>
      <c r="K138" s="97"/>
      <c r="L138" s="148">
        <f>Table1354[[#This Row],[Total]]</f>
        <v>0</v>
      </c>
    </row>
    <row r="139" spans="3:12" ht="16" x14ac:dyDescent="0.35">
      <c r="C139" s="121"/>
      <c r="D139" s="122"/>
      <c r="E139" s="122"/>
      <c r="F139" s="136"/>
      <c r="G139" s="126" t="s">
        <v>817</v>
      </c>
      <c r="H139" s="123">
        <f>SUM(H133:H138)</f>
        <v>0</v>
      </c>
      <c r="I139" s="124">
        <f t="shared" si="16"/>
        <v>0</v>
      </c>
      <c r="K139" s="125"/>
      <c r="L139" s="123">
        <f>SUM(L133:L138)</f>
        <v>0</v>
      </c>
    </row>
    <row r="140" spans="3:12" ht="13.5" x14ac:dyDescent="0.25">
      <c r="C140" s="97" t="s">
        <v>245</v>
      </c>
      <c r="D140" s="98" t="s">
        <v>246</v>
      </c>
      <c r="E140" s="98">
        <v>1</v>
      </c>
      <c r="F140" s="135" t="s">
        <v>25</v>
      </c>
      <c r="G140" s="100">
        <v>0</v>
      </c>
      <c r="H140" s="101">
        <f t="shared" ref="H140:H141" si="18">E140*G140</f>
        <v>0</v>
      </c>
      <c r="I140" s="102">
        <f t="shared" si="16"/>
        <v>0</v>
      </c>
      <c r="K140" s="97"/>
      <c r="L140" s="148">
        <f>Table1354[[#This Row],[Total]]</f>
        <v>0</v>
      </c>
    </row>
    <row r="141" spans="3:12" ht="13.5" x14ac:dyDescent="0.25">
      <c r="C141" s="97" t="s">
        <v>247</v>
      </c>
      <c r="D141" s="98" t="s">
        <v>248</v>
      </c>
      <c r="E141" s="98">
        <v>1</v>
      </c>
      <c r="F141" s="135" t="s">
        <v>72</v>
      </c>
      <c r="G141" s="100">
        <v>0</v>
      </c>
      <c r="H141" s="101">
        <f t="shared" si="18"/>
        <v>0</v>
      </c>
      <c r="I141" s="102">
        <f t="shared" si="16"/>
        <v>0</v>
      </c>
      <c r="K141" s="97"/>
      <c r="L141" s="148">
        <f>Table1354[[#This Row],[Total]]</f>
        <v>0</v>
      </c>
    </row>
    <row r="142" spans="3:12" ht="16" x14ac:dyDescent="0.35">
      <c r="C142" s="121"/>
      <c r="D142" s="122"/>
      <c r="E142" s="122"/>
      <c r="F142" s="136"/>
      <c r="G142" s="126" t="s">
        <v>818</v>
      </c>
      <c r="H142" s="123">
        <f>SUM(H140:H141)</f>
        <v>0</v>
      </c>
      <c r="I142" s="124">
        <f t="shared" si="16"/>
        <v>0</v>
      </c>
      <c r="K142" s="125"/>
      <c r="L142" s="123">
        <f>SUM(L140:L141)</f>
        <v>0</v>
      </c>
    </row>
    <row r="143" spans="3:12" ht="18" thickBot="1" x14ac:dyDescent="0.4">
      <c r="C143" s="118"/>
      <c r="D143" s="119"/>
      <c r="E143" s="119"/>
      <c r="F143" s="137"/>
      <c r="G143" s="119" t="s">
        <v>819</v>
      </c>
      <c r="H143" s="120">
        <f>SUM(H132,H139,H142)</f>
        <v>0</v>
      </c>
      <c r="I143" s="127">
        <f t="shared" si="16"/>
        <v>0</v>
      </c>
      <c r="K143" s="140"/>
      <c r="L143" s="120">
        <f>SUM(L132,L139,L142)</f>
        <v>0</v>
      </c>
    </row>
    <row r="144" spans="3:12" ht="17.5" x14ac:dyDescent="0.35">
      <c r="C144" s="116" t="s">
        <v>820</v>
      </c>
      <c r="D144" s="117"/>
      <c r="E144" s="117"/>
      <c r="F144" s="138"/>
      <c r="G144" s="117"/>
      <c r="H144" s="128"/>
      <c r="I144" s="129"/>
      <c r="K144" s="141"/>
      <c r="L144" s="149"/>
    </row>
    <row r="145" spans="3:12" ht="13.5" x14ac:dyDescent="0.25">
      <c r="C145" s="97" t="s">
        <v>38</v>
      </c>
      <c r="D145" s="98" t="s">
        <v>39</v>
      </c>
      <c r="E145" s="98">
        <v>18000</v>
      </c>
      <c r="F145" s="135" t="s">
        <v>27</v>
      </c>
      <c r="G145" s="100">
        <v>0</v>
      </c>
      <c r="H145" s="101">
        <f t="shared" ref="H145:H152" si="19">E145*G145</f>
        <v>0</v>
      </c>
      <c r="I145" s="102">
        <f t="shared" ref="I145:I174" si="20">IF($I$4=0, 0, H145/$I$4)</f>
        <v>0</v>
      </c>
      <c r="K145" s="97"/>
      <c r="L145" s="148">
        <f>Table1354[[#This Row],[Total]]</f>
        <v>0</v>
      </c>
    </row>
    <row r="146" spans="3:12" ht="13.5" x14ac:dyDescent="0.25">
      <c r="C146" s="97" t="s">
        <v>38</v>
      </c>
      <c r="D146" s="98" t="s">
        <v>249</v>
      </c>
      <c r="E146" s="98">
        <v>2</v>
      </c>
      <c r="F146" s="135" t="s">
        <v>72</v>
      </c>
      <c r="G146" s="100">
        <v>0</v>
      </c>
      <c r="H146" s="101">
        <f t="shared" si="19"/>
        <v>0</v>
      </c>
      <c r="I146" s="102">
        <f t="shared" si="20"/>
        <v>0</v>
      </c>
      <c r="K146" s="97"/>
      <c r="L146" s="148">
        <f>Table1354[[#This Row],[Total]]</f>
        <v>0</v>
      </c>
    </row>
    <row r="147" spans="3:12" ht="13.5" x14ac:dyDescent="0.25">
      <c r="C147" s="97" t="s">
        <v>40</v>
      </c>
      <c r="D147" s="98" t="s">
        <v>41</v>
      </c>
      <c r="E147" s="98">
        <v>15000</v>
      </c>
      <c r="F147" s="135" t="s">
        <v>27</v>
      </c>
      <c r="G147" s="100">
        <v>0</v>
      </c>
      <c r="H147" s="101">
        <f t="shared" si="19"/>
        <v>0</v>
      </c>
      <c r="I147" s="102">
        <f t="shared" si="20"/>
        <v>0</v>
      </c>
      <c r="K147" s="97"/>
      <c r="L147" s="148">
        <f>Table1354[[#This Row],[Total]]</f>
        <v>0</v>
      </c>
    </row>
    <row r="148" spans="3:12" ht="13.5" x14ac:dyDescent="0.25">
      <c r="C148" s="97" t="s">
        <v>40</v>
      </c>
      <c r="D148" s="98" t="s">
        <v>821</v>
      </c>
      <c r="E148" s="98">
        <v>15000</v>
      </c>
      <c r="F148" s="135" t="s">
        <v>27</v>
      </c>
      <c r="G148" s="100">
        <v>0</v>
      </c>
      <c r="H148" s="101">
        <f t="shared" si="19"/>
        <v>0</v>
      </c>
      <c r="I148" s="102">
        <f t="shared" si="20"/>
        <v>0</v>
      </c>
      <c r="K148" s="97"/>
      <c r="L148" s="148">
        <f>Table1354[[#This Row],[Total]]</f>
        <v>0</v>
      </c>
    </row>
    <row r="149" spans="3:12" ht="13.5" x14ac:dyDescent="0.25">
      <c r="C149" s="97" t="s">
        <v>40</v>
      </c>
      <c r="D149" s="98" t="s">
        <v>250</v>
      </c>
      <c r="E149" s="98">
        <v>160</v>
      </c>
      <c r="F149" s="135" t="s">
        <v>27</v>
      </c>
      <c r="G149" s="100">
        <v>0</v>
      </c>
      <c r="H149" s="101">
        <f t="shared" si="19"/>
        <v>0</v>
      </c>
      <c r="I149" s="102">
        <f t="shared" si="20"/>
        <v>0</v>
      </c>
      <c r="K149" s="97"/>
      <c r="L149" s="148">
        <f>Table1354[[#This Row],[Total]]</f>
        <v>0</v>
      </c>
    </row>
    <row r="150" spans="3:12" ht="13.5" x14ac:dyDescent="0.25">
      <c r="C150" s="97" t="s">
        <v>40</v>
      </c>
      <c r="D150" s="98" t="s">
        <v>251</v>
      </c>
      <c r="E150" s="98">
        <v>511</v>
      </c>
      <c r="F150" s="135" t="s">
        <v>27</v>
      </c>
      <c r="G150" s="100">
        <v>0</v>
      </c>
      <c r="H150" s="101">
        <f t="shared" si="19"/>
        <v>0</v>
      </c>
      <c r="I150" s="102">
        <f t="shared" si="20"/>
        <v>0</v>
      </c>
      <c r="K150" s="97"/>
      <c r="L150" s="148">
        <f>Table1354[[#This Row],[Total]]</f>
        <v>0</v>
      </c>
    </row>
    <row r="151" spans="3:12" ht="13.5" x14ac:dyDescent="0.25">
      <c r="C151" s="97" t="s">
        <v>40</v>
      </c>
      <c r="D151" s="98" t="s">
        <v>822</v>
      </c>
      <c r="E151" s="98">
        <v>798</v>
      </c>
      <c r="F151" s="135" t="s">
        <v>27</v>
      </c>
      <c r="G151" s="100">
        <v>0</v>
      </c>
      <c r="H151" s="101">
        <f t="shared" si="19"/>
        <v>0</v>
      </c>
      <c r="I151" s="102">
        <f t="shared" si="20"/>
        <v>0</v>
      </c>
      <c r="K151" s="97"/>
      <c r="L151" s="148">
        <f>Table1354[[#This Row],[Total]]</f>
        <v>0</v>
      </c>
    </row>
    <row r="152" spans="3:12" ht="13.5" x14ac:dyDescent="0.25">
      <c r="C152" s="97" t="s">
        <v>252</v>
      </c>
      <c r="D152" s="98" t="s">
        <v>253</v>
      </c>
      <c r="E152" s="98">
        <v>1000</v>
      </c>
      <c r="F152" s="135" t="s">
        <v>27</v>
      </c>
      <c r="G152" s="100">
        <v>0</v>
      </c>
      <c r="H152" s="101">
        <f t="shared" si="19"/>
        <v>0</v>
      </c>
      <c r="I152" s="102">
        <f t="shared" si="20"/>
        <v>0</v>
      </c>
      <c r="K152" s="97"/>
      <c r="L152" s="148">
        <f>Table1354[[#This Row],[Total]]</f>
        <v>0</v>
      </c>
    </row>
    <row r="153" spans="3:12" ht="16" x14ac:dyDescent="0.35">
      <c r="C153" s="121"/>
      <c r="D153" s="122"/>
      <c r="E153" s="122"/>
      <c r="F153" s="136"/>
      <c r="G153" s="126" t="s">
        <v>823</v>
      </c>
      <c r="H153" s="123">
        <f>SUM(H145:H152)</f>
        <v>0</v>
      </c>
      <c r="I153" s="124">
        <f t="shared" si="20"/>
        <v>0</v>
      </c>
      <c r="K153" s="125"/>
      <c r="L153" s="123">
        <f>SUM(L145:L152)</f>
        <v>0</v>
      </c>
    </row>
    <row r="154" spans="3:12" ht="13.5" x14ac:dyDescent="0.25">
      <c r="C154" s="97" t="s">
        <v>254</v>
      </c>
      <c r="D154" s="98" t="s">
        <v>255</v>
      </c>
      <c r="E154" s="98">
        <v>100</v>
      </c>
      <c r="F154" s="135" t="s">
        <v>25</v>
      </c>
      <c r="G154" s="100">
        <v>0</v>
      </c>
      <c r="H154" s="101">
        <f t="shared" ref="H154:H157" si="21">E154*G154</f>
        <v>0</v>
      </c>
      <c r="I154" s="102">
        <f t="shared" si="20"/>
        <v>0</v>
      </c>
      <c r="K154" s="97"/>
      <c r="L154" s="148">
        <f>Table1354[[#This Row],[Total]]</f>
        <v>0</v>
      </c>
    </row>
    <row r="155" spans="3:12" ht="13.5" x14ac:dyDescent="0.25">
      <c r="C155" s="97" t="s">
        <v>46</v>
      </c>
      <c r="D155" s="98" t="s">
        <v>256</v>
      </c>
      <c r="E155" s="98">
        <v>0</v>
      </c>
      <c r="F155" s="135" t="s">
        <v>27</v>
      </c>
      <c r="G155" s="100">
        <v>0</v>
      </c>
      <c r="H155" s="101">
        <f t="shared" si="21"/>
        <v>0</v>
      </c>
      <c r="I155" s="102">
        <f t="shared" si="20"/>
        <v>0</v>
      </c>
      <c r="K155" s="97"/>
      <c r="L155" s="148">
        <f>Table1354[[#This Row],[Total]]</f>
        <v>0</v>
      </c>
    </row>
    <row r="156" spans="3:12" ht="13.5" x14ac:dyDescent="0.25">
      <c r="C156" s="97" t="s">
        <v>42</v>
      </c>
      <c r="D156" s="98" t="s">
        <v>43</v>
      </c>
      <c r="E156" s="98">
        <v>75000</v>
      </c>
      <c r="F156" s="135" t="s">
        <v>27</v>
      </c>
      <c r="G156" s="100">
        <v>0</v>
      </c>
      <c r="H156" s="101">
        <f t="shared" si="21"/>
        <v>0</v>
      </c>
      <c r="I156" s="102">
        <f t="shared" si="20"/>
        <v>0</v>
      </c>
      <c r="K156" s="97"/>
      <c r="L156" s="148">
        <f>Table1354[[#This Row],[Total]]</f>
        <v>0</v>
      </c>
    </row>
    <row r="157" spans="3:12" ht="13.5" x14ac:dyDescent="0.25">
      <c r="C157" s="97" t="s">
        <v>257</v>
      </c>
      <c r="D157" s="98" t="s">
        <v>258</v>
      </c>
      <c r="E157" s="98">
        <v>1</v>
      </c>
      <c r="F157" s="135" t="s">
        <v>72</v>
      </c>
      <c r="G157" s="100">
        <v>0</v>
      </c>
      <c r="H157" s="101">
        <f t="shared" si="21"/>
        <v>0</v>
      </c>
      <c r="I157" s="102">
        <f t="shared" si="20"/>
        <v>0</v>
      </c>
      <c r="K157" s="97"/>
      <c r="L157" s="148">
        <f>Table1354[[#This Row],[Total]]</f>
        <v>0</v>
      </c>
    </row>
    <row r="158" spans="3:12" ht="16" x14ac:dyDescent="0.35">
      <c r="C158" s="121"/>
      <c r="D158" s="122"/>
      <c r="E158" s="122"/>
      <c r="F158" s="136"/>
      <c r="G158" s="126" t="s">
        <v>824</v>
      </c>
      <c r="H158" s="123">
        <f>SUM(H154:H157)</f>
        <v>0</v>
      </c>
      <c r="I158" s="124">
        <f t="shared" si="20"/>
        <v>0</v>
      </c>
      <c r="K158" s="125"/>
      <c r="L158" s="123">
        <f>SUM(L154:L157)</f>
        <v>0</v>
      </c>
    </row>
    <row r="159" spans="3:12" ht="13.5" x14ac:dyDescent="0.25">
      <c r="C159" s="97" t="s">
        <v>48</v>
      </c>
      <c r="D159" s="98" t="s">
        <v>49</v>
      </c>
      <c r="E159" s="98">
        <v>0</v>
      </c>
      <c r="F159" s="135" t="s">
        <v>72</v>
      </c>
      <c r="G159" s="100">
        <v>0</v>
      </c>
      <c r="H159" s="101">
        <f t="shared" ref="H159:H160" si="22">E159*G159</f>
        <v>0</v>
      </c>
      <c r="I159" s="102">
        <f t="shared" si="20"/>
        <v>0</v>
      </c>
      <c r="K159" s="97"/>
      <c r="L159" s="148">
        <f>Table1354[[#This Row],[Total]]</f>
        <v>0</v>
      </c>
    </row>
    <row r="160" spans="3:12" ht="13.5" x14ac:dyDescent="0.25">
      <c r="C160" s="97" t="s">
        <v>48</v>
      </c>
      <c r="D160" s="98" t="s">
        <v>259</v>
      </c>
      <c r="E160" s="98">
        <v>0</v>
      </c>
      <c r="F160" s="135" t="s">
        <v>72</v>
      </c>
      <c r="G160" s="100">
        <v>0</v>
      </c>
      <c r="H160" s="101">
        <f t="shared" si="22"/>
        <v>0</v>
      </c>
      <c r="I160" s="102">
        <f t="shared" si="20"/>
        <v>0</v>
      </c>
      <c r="K160" s="97"/>
      <c r="L160" s="148">
        <f>Table1354[[#This Row],[Total]]</f>
        <v>0</v>
      </c>
    </row>
    <row r="161" spans="3:12" ht="16" x14ac:dyDescent="0.35">
      <c r="C161" s="121"/>
      <c r="D161" s="122"/>
      <c r="E161" s="122"/>
      <c r="F161" s="136"/>
      <c r="G161" s="126" t="s">
        <v>825</v>
      </c>
      <c r="H161" s="123">
        <f>SUM(H159:H160)</f>
        <v>0</v>
      </c>
      <c r="I161" s="124">
        <f t="shared" si="20"/>
        <v>0</v>
      </c>
      <c r="K161" s="125"/>
      <c r="L161" s="123">
        <f>SUM(L159:L160)</f>
        <v>0</v>
      </c>
    </row>
    <row r="162" spans="3:12" ht="13.5" x14ac:dyDescent="0.25">
      <c r="C162" s="97" t="s">
        <v>50</v>
      </c>
      <c r="D162" s="98" t="s">
        <v>51</v>
      </c>
      <c r="E162" s="98">
        <v>0</v>
      </c>
      <c r="F162" s="135" t="s">
        <v>27</v>
      </c>
      <c r="G162" s="100">
        <v>0</v>
      </c>
      <c r="H162" s="101">
        <f t="shared" ref="H162:H163" si="23">E162*G162</f>
        <v>0</v>
      </c>
      <c r="I162" s="102">
        <f t="shared" si="20"/>
        <v>0</v>
      </c>
      <c r="K162" s="97"/>
      <c r="L162" s="148">
        <f>Table1354[[#This Row],[Total]]</f>
        <v>0</v>
      </c>
    </row>
    <row r="163" spans="3:12" ht="13.5" x14ac:dyDescent="0.25">
      <c r="C163" s="97" t="s">
        <v>52</v>
      </c>
      <c r="D163" s="98" t="s">
        <v>53</v>
      </c>
      <c r="E163" s="98">
        <v>52920</v>
      </c>
      <c r="F163" s="135" t="s">
        <v>27</v>
      </c>
      <c r="G163" s="100">
        <v>0</v>
      </c>
      <c r="H163" s="101">
        <f t="shared" si="23"/>
        <v>0</v>
      </c>
      <c r="I163" s="102">
        <f t="shared" si="20"/>
        <v>0</v>
      </c>
      <c r="K163" s="97"/>
      <c r="L163" s="148">
        <f>Table1354[[#This Row],[Total]]</f>
        <v>0</v>
      </c>
    </row>
    <row r="164" spans="3:12" ht="16" x14ac:dyDescent="0.35">
      <c r="C164" s="121"/>
      <c r="D164" s="122"/>
      <c r="E164" s="122"/>
      <c r="F164" s="136"/>
      <c r="G164" s="126" t="s">
        <v>826</v>
      </c>
      <c r="H164" s="123">
        <f>SUM(H162:H163)</f>
        <v>0</v>
      </c>
      <c r="I164" s="124">
        <f t="shared" si="20"/>
        <v>0</v>
      </c>
      <c r="K164" s="125"/>
      <c r="L164" s="123">
        <f>SUM(L162:L163)</f>
        <v>0</v>
      </c>
    </row>
    <row r="165" spans="3:12" ht="13.5" x14ac:dyDescent="0.25">
      <c r="C165" s="97" t="s">
        <v>54</v>
      </c>
      <c r="D165" s="98" t="s">
        <v>55</v>
      </c>
      <c r="E165" s="98">
        <v>60000</v>
      </c>
      <c r="F165" s="135" t="s">
        <v>27</v>
      </c>
      <c r="G165" s="100">
        <v>0</v>
      </c>
      <c r="H165" s="101">
        <f t="shared" ref="H165:H167" si="24">E165*G165</f>
        <v>0</v>
      </c>
      <c r="I165" s="102">
        <f t="shared" si="20"/>
        <v>0</v>
      </c>
      <c r="K165" s="97"/>
      <c r="L165" s="148">
        <f>Table1354[[#This Row],[Total]]</f>
        <v>0</v>
      </c>
    </row>
    <row r="166" spans="3:12" ht="13.5" x14ac:dyDescent="0.25">
      <c r="C166" s="97" t="s">
        <v>261</v>
      </c>
      <c r="D166" s="98" t="s">
        <v>262</v>
      </c>
      <c r="E166" s="98">
        <v>1</v>
      </c>
      <c r="F166" s="135" t="s">
        <v>72</v>
      </c>
      <c r="G166" s="100">
        <v>0</v>
      </c>
      <c r="H166" s="101">
        <f t="shared" si="24"/>
        <v>0</v>
      </c>
      <c r="I166" s="102">
        <f t="shared" si="20"/>
        <v>0</v>
      </c>
      <c r="K166" s="97"/>
      <c r="L166" s="148">
        <f>Table1354[[#This Row],[Total]]</f>
        <v>0</v>
      </c>
    </row>
    <row r="167" spans="3:12" ht="13.5" x14ac:dyDescent="0.25">
      <c r="C167" s="97" t="s">
        <v>263</v>
      </c>
      <c r="D167" s="98" t="s">
        <v>264</v>
      </c>
      <c r="E167" s="98">
        <v>0</v>
      </c>
      <c r="F167" s="135" t="s">
        <v>27</v>
      </c>
      <c r="G167" s="100">
        <v>0</v>
      </c>
      <c r="H167" s="101">
        <f t="shared" si="24"/>
        <v>0</v>
      </c>
      <c r="I167" s="102">
        <f t="shared" si="20"/>
        <v>0</v>
      </c>
      <c r="K167" s="97"/>
      <c r="L167" s="148">
        <f>Table1354[[#This Row],[Total]]</f>
        <v>0</v>
      </c>
    </row>
    <row r="168" spans="3:12" ht="16" x14ac:dyDescent="0.35">
      <c r="C168" s="121"/>
      <c r="D168" s="122"/>
      <c r="E168" s="122"/>
      <c r="F168" s="136"/>
      <c r="G168" s="126" t="s">
        <v>827</v>
      </c>
      <c r="H168" s="123">
        <f>SUM(H165:H167)</f>
        <v>0</v>
      </c>
      <c r="I168" s="124">
        <f t="shared" si="20"/>
        <v>0</v>
      </c>
      <c r="K168" s="125"/>
      <c r="L168" s="123">
        <f>SUM(L165:L167)</f>
        <v>0</v>
      </c>
    </row>
    <row r="169" spans="3:12" ht="13.5" x14ac:dyDescent="0.25">
      <c r="C169" s="97" t="s">
        <v>265</v>
      </c>
      <c r="D169" s="98" t="s">
        <v>266</v>
      </c>
      <c r="E169" s="98">
        <v>1</v>
      </c>
      <c r="F169" s="135" t="s">
        <v>72</v>
      </c>
      <c r="G169" s="100">
        <v>0</v>
      </c>
      <c r="H169" s="101">
        <f t="shared" ref="H169:H172" si="25">E169*G169</f>
        <v>0</v>
      </c>
      <c r="I169" s="102">
        <f t="shared" si="20"/>
        <v>0</v>
      </c>
      <c r="K169" s="97"/>
      <c r="L169" s="148">
        <f>Table1354[[#This Row],[Total]]</f>
        <v>0</v>
      </c>
    </row>
    <row r="170" spans="3:12" ht="13.5" x14ac:dyDescent="0.25">
      <c r="C170" s="97" t="s">
        <v>267</v>
      </c>
      <c r="D170" s="98" t="s">
        <v>268</v>
      </c>
      <c r="E170" s="98">
        <v>0</v>
      </c>
      <c r="F170" s="135" t="s">
        <v>25</v>
      </c>
      <c r="G170" s="100">
        <v>0</v>
      </c>
      <c r="H170" s="101">
        <f t="shared" si="25"/>
        <v>0</v>
      </c>
      <c r="I170" s="102">
        <f t="shared" si="20"/>
        <v>0</v>
      </c>
      <c r="K170" s="97"/>
      <c r="L170" s="148">
        <f>Table1354[[#This Row],[Total]]</f>
        <v>0</v>
      </c>
    </row>
    <row r="171" spans="3:12" ht="13.5" x14ac:dyDescent="0.25">
      <c r="C171" s="97" t="s">
        <v>269</v>
      </c>
      <c r="D171" s="98" t="s">
        <v>270</v>
      </c>
      <c r="E171" s="98">
        <v>100</v>
      </c>
      <c r="F171" s="135" t="s">
        <v>25</v>
      </c>
      <c r="G171" s="100">
        <v>0</v>
      </c>
      <c r="H171" s="101">
        <f t="shared" si="25"/>
        <v>0</v>
      </c>
      <c r="I171" s="102">
        <f t="shared" si="20"/>
        <v>0</v>
      </c>
      <c r="K171" s="97"/>
      <c r="L171" s="148">
        <f>Table1354[[#This Row],[Total]]</f>
        <v>0</v>
      </c>
    </row>
    <row r="172" spans="3:12" ht="13.5" x14ac:dyDescent="0.25">
      <c r="C172" s="97" t="s">
        <v>271</v>
      </c>
      <c r="D172" s="98" t="s">
        <v>272</v>
      </c>
      <c r="E172" s="98">
        <v>0</v>
      </c>
      <c r="F172" s="135" t="s">
        <v>25</v>
      </c>
      <c r="G172" s="100">
        <v>0</v>
      </c>
      <c r="H172" s="101">
        <f t="shared" si="25"/>
        <v>0</v>
      </c>
      <c r="I172" s="102">
        <f t="shared" si="20"/>
        <v>0</v>
      </c>
      <c r="K172" s="97"/>
      <c r="L172" s="148">
        <f>Table1354[[#This Row],[Total]]</f>
        <v>0</v>
      </c>
    </row>
    <row r="173" spans="3:12" ht="16" x14ac:dyDescent="0.35">
      <c r="C173" s="121"/>
      <c r="D173" s="122"/>
      <c r="E173" s="122"/>
      <c r="F173" s="136"/>
      <c r="G173" s="126" t="s">
        <v>828</v>
      </c>
      <c r="H173" s="123">
        <f>SUM(H169:H172)</f>
        <v>0</v>
      </c>
      <c r="I173" s="124">
        <f t="shared" si="20"/>
        <v>0</v>
      </c>
      <c r="K173" s="125"/>
      <c r="L173" s="123">
        <f>SUM(L169:L172)</f>
        <v>0</v>
      </c>
    </row>
    <row r="174" spans="3:12" ht="18" thickBot="1" x14ac:dyDescent="0.4">
      <c r="C174" s="118"/>
      <c r="D174" s="119"/>
      <c r="E174" s="119"/>
      <c r="F174" s="137"/>
      <c r="G174" s="119" t="s">
        <v>829</v>
      </c>
      <c r="H174" s="120">
        <f>SUM(H153,H158,H161,H164,H168,H173)</f>
        <v>0</v>
      </c>
      <c r="I174" s="127">
        <f t="shared" si="20"/>
        <v>0</v>
      </c>
      <c r="K174" s="140"/>
      <c r="L174" s="120">
        <f>SUM(L153,L158,L161,L164,L168,L173)</f>
        <v>0</v>
      </c>
    </row>
    <row r="175" spans="3:12" ht="17.5" x14ac:dyDescent="0.35">
      <c r="C175" s="116" t="s">
        <v>830</v>
      </c>
      <c r="D175" s="117"/>
      <c r="E175" s="117"/>
      <c r="F175" s="138"/>
      <c r="G175" s="117"/>
      <c r="H175" s="128"/>
      <c r="I175" s="129"/>
      <c r="K175" s="141"/>
      <c r="L175" s="149"/>
    </row>
    <row r="176" spans="3:12" ht="13.5" x14ac:dyDescent="0.25">
      <c r="C176" s="97" t="s">
        <v>273</v>
      </c>
      <c r="D176" s="98" t="s">
        <v>831</v>
      </c>
      <c r="E176" s="98">
        <v>100</v>
      </c>
      <c r="F176" s="135" t="s">
        <v>25</v>
      </c>
      <c r="G176" s="100">
        <v>0</v>
      </c>
      <c r="H176" s="101">
        <f t="shared" ref="H176:H179" si="26">E176*G176</f>
        <v>0</v>
      </c>
      <c r="I176" s="102">
        <f t="shared" ref="I176:I193" si="27">IF($I$4=0, 0, H176/$I$4)</f>
        <v>0</v>
      </c>
      <c r="K176" s="97"/>
      <c r="L176" s="148">
        <f>Table1354[[#This Row],[Total]]</f>
        <v>0</v>
      </c>
    </row>
    <row r="177" spans="3:12" ht="13.5" x14ac:dyDescent="0.25">
      <c r="C177" s="97" t="s">
        <v>274</v>
      </c>
      <c r="D177" s="98" t="s">
        <v>832</v>
      </c>
      <c r="E177" s="98">
        <v>0</v>
      </c>
      <c r="F177" s="135" t="s">
        <v>72</v>
      </c>
      <c r="G177" s="100">
        <v>0</v>
      </c>
      <c r="H177" s="101">
        <f t="shared" si="26"/>
        <v>0</v>
      </c>
      <c r="I177" s="102">
        <f t="shared" si="27"/>
        <v>0</v>
      </c>
      <c r="K177" s="97"/>
      <c r="L177" s="148">
        <f>Table1354[[#This Row],[Total]]</f>
        <v>0</v>
      </c>
    </row>
    <row r="178" spans="3:12" ht="13.5" x14ac:dyDescent="0.25">
      <c r="C178" s="97" t="s">
        <v>276</v>
      </c>
      <c r="D178" s="98" t="s">
        <v>833</v>
      </c>
      <c r="E178" s="98">
        <v>100</v>
      </c>
      <c r="F178" s="135" t="s">
        <v>25</v>
      </c>
      <c r="G178" s="100">
        <v>0</v>
      </c>
      <c r="H178" s="101">
        <f t="shared" si="26"/>
        <v>0</v>
      </c>
      <c r="I178" s="102">
        <f t="shared" si="27"/>
        <v>0</v>
      </c>
      <c r="K178" s="97"/>
      <c r="L178" s="148">
        <f>Table1354[[#This Row],[Total]]</f>
        <v>0</v>
      </c>
    </row>
    <row r="179" spans="3:12" ht="13.5" x14ac:dyDescent="0.25">
      <c r="C179" s="97" t="s">
        <v>278</v>
      </c>
      <c r="D179" s="98" t="s">
        <v>834</v>
      </c>
      <c r="E179" s="98">
        <v>1</v>
      </c>
      <c r="F179" s="135" t="s">
        <v>72</v>
      </c>
      <c r="G179" s="100">
        <v>0</v>
      </c>
      <c r="H179" s="101">
        <f t="shared" si="26"/>
        <v>0</v>
      </c>
      <c r="I179" s="102">
        <f t="shared" si="27"/>
        <v>0</v>
      </c>
      <c r="K179" s="97"/>
      <c r="L179" s="148">
        <f>Table1354[[#This Row],[Total]]</f>
        <v>0</v>
      </c>
    </row>
    <row r="180" spans="3:12" ht="16" x14ac:dyDescent="0.35">
      <c r="C180" s="121"/>
      <c r="D180" s="122"/>
      <c r="E180" s="122"/>
      <c r="F180" s="136"/>
      <c r="G180" s="126" t="s">
        <v>835</v>
      </c>
      <c r="H180" s="123">
        <f>SUM(H176:H179)</f>
        <v>0</v>
      </c>
      <c r="I180" s="124">
        <f t="shared" si="27"/>
        <v>0</v>
      </c>
      <c r="K180" s="125"/>
      <c r="L180" s="123">
        <f>SUM(L176:L179)</f>
        <v>0</v>
      </c>
    </row>
    <row r="181" spans="3:12" ht="13.5" x14ac:dyDescent="0.25">
      <c r="C181" s="97" t="s">
        <v>58</v>
      </c>
      <c r="D181" s="98" t="s">
        <v>836</v>
      </c>
      <c r="E181" s="98">
        <v>500</v>
      </c>
      <c r="F181" s="135" t="s">
        <v>27</v>
      </c>
      <c r="G181" s="100">
        <v>0</v>
      </c>
      <c r="H181" s="101">
        <f t="shared" ref="H181:H182" si="28">E181*G181</f>
        <v>0</v>
      </c>
      <c r="I181" s="102">
        <f t="shared" si="27"/>
        <v>0</v>
      </c>
      <c r="K181" s="97"/>
      <c r="L181" s="148">
        <f>Table1354[[#This Row],[Total]]</f>
        <v>0</v>
      </c>
    </row>
    <row r="182" spans="3:12" ht="13.5" x14ac:dyDescent="0.25">
      <c r="C182" s="97" t="s">
        <v>58</v>
      </c>
      <c r="D182" s="98" t="s">
        <v>281</v>
      </c>
      <c r="E182" s="98">
        <v>1</v>
      </c>
      <c r="F182" s="135" t="s">
        <v>25</v>
      </c>
      <c r="G182" s="100">
        <v>0</v>
      </c>
      <c r="H182" s="101">
        <f t="shared" si="28"/>
        <v>0</v>
      </c>
      <c r="I182" s="102">
        <f t="shared" si="27"/>
        <v>0</v>
      </c>
      <c r="K182" s="97"/>
      <c r="L182" s="148">
        <f>Table1354[[#This Row],[Total]]</f>
        <v>0</v>
      </c>
    </row>
    <row r="183" spans="3:12" ht="16" x14ac:dyDescent="0.35">
      <c r="C183" s="121"/>
      <c r="D183" s="122"/>
      <c r="E183" s="122"/>
      <c r="F183" s="136"/>
      <c r="G183" s="126" t="s">
        <v>837</v>
      </c>
      <c r="H183" s="123">
        <f>SUM(H181:H182)</f>
        <v>0</v>
      </c>
      <c r="I183" s="124">
        <f t="shared" si="27"/>
        <v>0</v>
      </c>
      <c r="K183" s="125"/>
      <c r="L183" s="123">
        <f>SUM(L181:L182)</f>
        <v>0</v>
      </c>
    </row>
    <row r="184" spans="3:12" ht="13.5" x14ac:dyDescent="0.25">
      <c r="C184" s="97" t="s">
        <v>282</v>
      </c>
      <c r="D184" s="98" t="s">
        <v>283</v>
      </c>
      <c r="E184" s="98">
        <v>0</v>
      </c>
      <c r="F184" s="135" t="s">
        <v>72</v>
      </c>
      <c r="G184" s="100">
        <v>0</v>
      </c>
      <c r="H184" s="101">
        <f t="shared" ref="H184" si="29">E184*G184</f>
        <v>0</v>
      </c>
      <c r="I184" s="102">
        <f t="shared" si="27"/>
        <v>0</v>
      </c>
      <c r="K184" s="97"/>
      <c r="L184" s="148">
        <f>Table1354[[#This Row],[Total]]</f>
        <v>0</v>
      </c>
    </row>
    <row r="185" spans="3:12" ht="16" x14ac:dyDescent="0.35">
      <c r="C185" s="121"/>
      <c r="D185" s="122"/>
      <c r="E185" s="122"/>
      <c r="F185" s="136"/>
      <c r="G185" s="126" t="s">
        <v>838</v>
      </c>
      <c r="H185" s="123">
        <f>SUM(H184)</f>
        <v>0</v>
      </c>
      <c r="I185" s="124">
        <f t="shared" si="27"/>
        <v>0</v>
      </c>
      <c r="K185" s="125"/>
      <c r="L185" s="123">
        <f>SUM(L184)</f>
        <v>0</v>
      </c>
    </row>
    <row r="186" spans="3:12" ht="13.5" x14ac:dyDescent="0.25">
      <c r="C186" s="97" t="s">
        <v>284</v>
      </c>
      <c r="D186" s="98" t="s">
        <v>839</v>
      </c>
      <c r="E186" s="98">
        <v>0</v>
      </c>
      <c r="F186" s="135" t="s">
        <v>25</v>
      </c>
      <c r="G186" s="100">
        <v>0</v>
      </c>
      <c r="H186" s="101">
        <f t="shared" ref="H186:H188" si="30">E186*G186</f>
        <v>0</v>
      </c>
      <c r="I186" s="102">
        <f t="shared" si="27"/>
        <v>0</v>
      </c>
      <c r="K186" s="97"/>
      <c r="L186" s="148">
        <f>Table1354[[#This Row],[Total]]</f>
        <v>0</v>
      </c>
    </row>
    <row r="187" spans="3:12" ht="13.5" x14ac:dyDescent="0.25">
      <c r="C187" s="97" t="s">
        <v>56</v>
      </c>
      <c r="D187" s="98" t="s">
        <v>840</v>
      </c>
      <c r="E187" s="98">
        <v>100</v>
      </c>
      <c r="F187" s="135" t="s">
        <v>25</v>
      </c>
      <c r="G187" s="100">
        <v>0</v>
      </c>
      <c r="H187" s="101">
        <f t="shared" si="30"/>
        <v>0</v>
      </c>
      <c r="I187" s="102">
        <f t="shared" si="27"/>
        <v>0</v>
      </c>
      <c r="K187" s="97"/>
      <c r="L187" s="148">
        <f>Table1354[[#This Row],[Total]]</f>
        <v>0</v>
      </c>
    </row>
    <row r="188" spans="3:12" ht="13.5" x14ac:dyDescent="0.25">
      <c r="C188" s="97" t="s">
        <v>56</v>
      </c>
      <c r="D188" s="98" t="s">
        <v>841</v>
      </c>
      <c r="E188" s="98">
        <v>1</v>
      </c>
      <c r="F188" s="135" t="s">
        <v>72</v>
      </c>
      <c r="G188" s="100">
        <v>0</v>
      </c>
      <c r="H188" s="101">
        <f t="shared" si="30"/>
        <v>0</v>
      </c>
      <c r="I188" s="102">
        <f t="shared" si="27"/>
        <v>0</v>
      </c>
      <c r="K188" s="97"/>
      <c r="L188" s="148">
        <f>Table1354[[#This Row],[Total]]</f>
        <v>0</v>
      </c>
    </row>
    <row r="189" spans="3:12" ht="16" x14ac:dyDescent="0.35">
      <c r="C189" s="121"/>
      <c r="D189" s="122"/>
      <c r="E189" s="122"/>
      <c r="F189" s="136"/>
      <c r="G189" s="126" t="s">
        <v>842</v>
      </c>
      <c r="H189" s="123">
        <f>SUM(H186:H188)</f>
        <v>0</v>
      </c>
      <c r="I189" s="124">
        <f t="shared" si="27"/>
        <v>0</v>
      </c>
      <c r="K189" s="125"/>
      <c r="L189" s="123">
        <f>SUM(L186:L188)</f>
        <v>0</v>
      </c>
    </row>
    <row r="190" spans="3:12" ht="13.5" x14ac:dyDescent="0.25">
      <c r="C190" s="97" t="s">
        <v>287</v>
      </c>
      <c r="D190" s="98" t="s">
        <v>288</v>
      </c>
      <c r="E190" s="98">
        <v>100</v>
      </c>
      <c r="F190" s="135" t="s">
        <v>25</v>
      </c>
      <c r="G190" s="100">
        <v>0</v>
      </c>
      <c r="H190" s="101">
        <f t="shared" ref="H190:H191" si="31">E190*G190</f>
        <v>0</v>
      </c>
      <c r="I190" s="102">
        <f t="shared" si="27"/>
        <v>0</v>
      </c>
      <c r="K190" s="97"/>
      <c r="L190" s="148">
        <f>Table1354[[#This Row],[Total]]</f>
        <v>0</v>
      </c>
    </row>
    <row r="191" spans="3:12" ht="13.5" x14ac:dyDescent="0.25">
      <c r="C191" s="97" t="s">
        <v>289</v>
      </c>
      <c r="D191" s="98" t="s">
        <v>290</v>
      </c>
      <c r="E191" s="98">
        <v>100</v>
      </c>
      <c r="F191" s="135" t="s">
        <v>72</v>
      </c>
      <c r="G191" s="100">
        <v>0</v>
      </c>
      <c r="H191" s="101">
        <f t="shared" si="31"/>
        <v>0</v>
      </c>
      <c r="I191" s="102">
        <f t="shared" si="27"/>
        <v>0</v>
      </c>
      <c r="K191" s="97"/>
      <c r="L191" s="148">
        <f>Table1354[[#This Row],[Total]]</f>
        <v>0</v>
      </c>
    </row>
    <row r="192" spans="3:12" ht="16" x14ac:dyDescent="0.35">
      <c r="C192" s="121"/>
      <c r="D192" s="122"/>
      <c r="E192" s="122"/>
      <c r="F192" s="136"/>
      <c r="G192" s="126" t="s">
        <v>843</v>
      </c>
      <c r="H192" s="123">
        <f>SUM(H190:H191)</f>
        <v>0</v>
      </c>
      <c r="I192" s="124">
        <f t="shared" si="27"/>
        <v>0</v>
      </c>
      <c r="K192" s="125"/>
      <c r="L192" s="123">
        <f>SUM(L190:L191)</f>
        <v>0</v>
      </c>
    </row>
    <row r="193" spans="3:12" ht="18" thickBot="1" x14ac:dyDescent="0.4">
      <c r="C193" s="118"/>
      <c r="D193" s="119"/>
      <c r="E193" s="119"/>
      <c r="F193" s="137"/>
      <c r="G193" s="119" t="s">
        <v>844</v>
      </c>
      <c r="H193" s="120">
        <f>SUM(H180,H183,H185,H189,H192)</f>
        <v>0</v>
      </c>
      <c r="I193" s="127">
        <f t="shared" si="27"/>
        <v>0</v>
      </c>
      <c r="K193" s="140"/>
      <c r="L193" s="120">
        <f>SUM(L180,L183,L185,L189,L192)</f>
        <v>0</v>
      </c>
    </row>
    <row r="194" spans="3:12" ht="17.5" x14ac:dyDescent="0.35">
      <c r="C194" s="116" t="s">
        <v>845</v>
      </c>
      <c r="D194" s="117"/>
      <c r="E194" s="117"/>
      <c r="F194" s="138"/>
      <c r="G194" s="117"/>
      <c r="H194" s="128"/>
      <c r="I194" s="129"/>
      <c r="K194" s="141"/>
      <c r="L194" s="149"/>
    </row>
    <row r="195" spans="3:12" ht="13.5" x14ac:dyDescent="0.25">
      <c r="C195" s="97" t="s">
        <v>293</v>
      </c>
      <c r="D195" s="98" t="s">
        <v>846</v>
      </c>
      <c r="E195" s="98">
        <v>100</v>
      </c>
      <c r="F195" s="135" t="s">
        <v>25</v>
      </c>
      <c r="G195" s="100">
        <v>0</v>
      </c>
      <c r="H195" s="101">
        <f t="shared" ref="H195:H196" si="32">E195*G195</f>
        <v>0</v>
      </c>
      <c r="I195" s="102">
        <f t="shared" ref="I195:I218" si="33">IF($I$4=0, 0, H195/$I$4)</f>
        <v>0</v>
      </c>
      <c r="K195" s="97"/>
      <c r="L195" s="148">
        <f>Table1354[[#This Row],[Total]]</f>
        <v>0</v>
      </c>
    </row>
    <row r="196" spans="3:12" ht="13.5" x14ac:dyDescent="0.25">
      <c r="C196" s="97" t="s">
        <v>295</v>
      </c>
      <c r="D196" s="98" t="s">
        <v>296</v>
      </c>
      <c r="E196" s="98">
        <v>0</v>
      </c>
      <c r="F196" s="135" t="s">
        <v>72</v>
      </c>
      <c r="G196" s="100">
        <v>0</v>
      </c>
      <c r="H196" s="101">
        <f t="shared" si="32"/>
        <v>0</v>
      </c>
      <c r="I196" s="102">
        <f t="shared" si="33"/>
        <v>0</v>
      </c>
      <c r="K196" s="97"/>
      <c r="L196" s="148">
        <f>Table1354[[#This Row],[Total]]</f>
        <v>0</v>
      </c>
    </row>
    <row r="197" spans="3:12" ht="16" x14ac:dyDescent="0.35">
      <c r="C197" s="121"/>
      <c r="D197" s="122"/>
      <c r="E197" s="122"/>
      <c r="F197" s="136"/>
      <c r="G197" s="126" t="s">
        <v>847</v>
      </c>
      <c r="H197" s="123">
        <f>SUM(H195:H196)</f>
        <v>0</v>
      </c>
      <c r="I197" s="124">
        <f t="shared" si="33"/>
        <v>0</v>
      </c>
      <c r="K197" s="125"/>
      <c r="L197" s="123">
        <f>SUM(L195:L196)</f>
        <v>0</v>
      </c>
    </row>
    <row r="198" spans="3:12" ht="13.5" x14ac:dyDescent="0.25">
      <c r="C198" s="97" t="s">
        <v>297</v>
      </c>
      <c r="D198" s="98" t="s">
        <v>298</v>
      </c>
      <c r="E198" s="98">
        <v>100</v>
      </c>
      <c r="F198" s="135" t="s">
        <v>25</v>
      </c>
      <c r="G198" s="100">
        <v>0</v>
      </c>
      <c r="H198" s="101">
        <f t="shared" ref="H198" si="34">E198*G198</f>
        <v>0</v>
      </c>
      <c r="I198" s="102">
        <f t="shared" si="33"/>
        <v>0</v>
      </c>
      <c r="K198" s="97"/>
      <c r="L198" s="148">
        <f>Table1354[[#This Row],[Total]]</f>
        <v>0</v>
      </c>
    </row>
    <row r="199" spans="3:12" ht="16" x14ac:dyDescent="0.35">
      <c r="C199" s="121"/>
      <c r="D199" s="122"/>
      <c r="E199" s="122"/>
      <c r="F199" s="136"/>
      <c r="G199" s="126" t="s">
        <v>848</v>
      </c>
      <c r="H199" s="123">
        <f>SUM(H198)</f>
        <v>0</v>
      </c>
      <c r="I199" s="124">
        <f t="shared" si="33"/>
        <v>0</v>
      </c>
      <c r="K199" s="125"/>
      <c r="L199" s="123">
        <f>SUM(L198)</f>
        <v>0</v>
      </c>
    </row>
    <row r="200" spans="3:12" ht="13.5" x14ac:dyDescent="0.25">
      <c r="C200" s="97" t="s">
        <v>299</v>
      </c>
      <c r="D200" s="98" t="s">
        <v>300</v>
      </c>
      <c r="E200" s="98">
        <v>2000</v>
      </c>
      <c r="F200" s="135" t="s">
        <v>27</v>
      </c>
      <c r="G200" s="100">
        <v>0</v>
      </c>
      <c r="H200" s="101">
        <f t="shared" ref="H200" si="35">E200*G200</f>
        <v>0</v>
      </c>
      <c r="I200" s="102">
        <f t="shared" si="33"/>
        <v>0</v>
      </c>
      <c r="K200" s="97"/>
      <c r="L200" s="148">
        <f>Table1354[[#This Row],[Total]]</f>
        <v>0</v>
      </c>
    </row>
    <row r="201" spans="3:12" ht="16" x14ac:dyDescent="0.35">
      <c r="C201" s="121"/>
      <c r="D201" s="122"/>
      <c r="E201" s="122"/>
      <c r="F201" s="136"/>
      <c r="G201" s="126" t="s">
        <v>849</v>
      </c>
      <c r="H201" s="123">
        <f>SUM(H200:H200)</f>
        <v>0</v>
      </c>
      <c r="I201" s="124">
        <f t="shared" si="33"/>
        <v>0</v>
      </c>
      <c r="K201" s="125"/>
      <c r="L201" s="123">
        <f>SUM(L200:L200)</f>
        <v>0</v>
      </c>
    </row>
    <row r="202" spans="3:12" ht="13.5" x14ac:dyDescent="0.25">
      <c r="C202" s="97" t="s">
        <v>301</v>
      </c>
      <c r="D202" s="98" t="s">
        <v>302</v>
      </c>
      <c r="E202" s="98">
        <v>0</v>
      </c>
      <c r="F202" s="135" t="s">
        <v>72</v>
      </c>
      <c r="G202" s="100">
        <v>0</v>
      </c>
      <c r="H202" s="101">
        <f t="shared" ref="H202" si="36">E202*G202</f>
        <v>0</v>
      </c>
      <c r="I202" s="102">
        <f t="shared" si="33"/>
        <v>0</v>
      </c>
      <c r="K202" s="97"/>
      <c r="L202" s="148">
        <f>Table1354[[#This Row],[Total]]</f>
        <v>0</v>
      </c>
    </row>
    <row r="203" spans="3:12" ht="16" x14ac:dyDescent="0.35">
      <c r="C203" s="121"/>
      <c r="D203" s="122"/>
      <c r="E203" s="122"/>
      <c r="F203" s="136"/>
      <c r="G203" s="126" t="s">
        <v>850</v>
      </c>
      <c r="H203" s="123">
        <f>SUM(H202:H202)</f>
        <v>0</v>
      </c>
      <c r="I203" s="124">
        <f t="shared" si="33"/>
        <v>0</v>
      </c>
      <c r="K203" s="125"/>
      <c r="L203" s="123">
        <f>SUM(L202:L202)</f>
        <v>0</v>
      </c>
    </row>
    <row r="204" spans="3:12" ht="13.5" x14ac:dyDescent="0.25">
      <c r="C204" s="97" t="s">
        <v>303</v>
      </c>
      <c r="D204" s="98" t="s">
        <v>304</v>
      </c>
      <c r="E204" s="98">
        <v>100</v>
      </c>
      <c r="F204" s="135" t="s">
        <v>25</v>
      </c>
      <c r="G204" s="100">
        <v>0</v>
      </c>
      <c r="H204" s="101">
        <f t="shared" ref="H204" si="37">E204*G204</f>
        <v>0</v>
      </c>
      <c r="I204" s="102">
        <f t="shared" si="33"/>
        <v>0</v>
      </c>
      <c r="K204" s="97"/>
      <c r="L204" s="148">
        <f>Table1354[[#This Row],[Total]]</f>
        <v>0</v>
      </c>
    </row>
    <row r="205" spans="3:12" ht="16" x14ac:dyDescent="0.35">
      <c r="C205" s="121"/>
      <c r="D205" s="122"/>
      <c r="E205" s="122"/>
      <c r="F205" s="136"/>
      <c r="G205" s="126" t="s">
        <v>851</v>
      </c>
      <c r="H205" s="123">
        <f>SUM(H204)</f>
        <v>0</v>
      </c>
      <c r="I205" s="124">
        <f t="shared" si="33"/>
        <v>0</v>
      </c>
      <c r="K205" s="125"/>
      <c r="L205" s="123">
        <f>SUM(L204)</f>
        <v>0</v>
      </c>
    </row>
    <row r="206" spans="3:12" ht="13.5" x14ac:dyDescent="0.25">
      <c r="C206" s="97" t="s">
        <v>305</v>
      </c>
      <c r="D206" s="98" t="s">
        <v>306</v>
      </c>
      <c r="E206" s="98">
        <v>0</v>
      </c>
      <c r="F206" s="135" t="s">
        <v>27</v>
      </c>
      <c r="G206" s="100">
        <v>0</v>
      </c>
      <c r="H206" s="101">
        <f t="shared" ref="H206" si="38">E206*G206</f>
        <v>0</v>
      </c>
      <c r="I206" s="102">
        <f t="shared" si="33"/>
        <v>0</v>
      </c>
      <c r="K206" s="97"/>
      <c r="L206" s="148">
        <f>Table1354[[#This Row],[Total]]</f>
        <v>0</v>
      </c>
    </row>
    <row r="207" spans="3:12" ht="16" x14ac:dyDescent="0.35">
      <c r="C207" s="121"/>
      <c r="D207" s="122"/>
      <c r="E207" s="122"/>
      <c r="F207" s="136"/>
      <c r="G207" s="126" t="s">
        <v>852</v>
      </c>
      <c r="H207" s="123">
        <f>SUM(H206)</f>
        <v>0</v>
      </c>
      <c r="I207" s="124">
        <f t="shared" si="33"/>
        <v>0</v>
      </c>
      <c r="K207" s="125"/>
      <c r="L207" s="123">
        <f>SUM(L206)</f>
        <v>0</v>
      </c>
    </row>
    <row r="208" spans="3:12" ht="13.5" x14ac:dyDescent="0.25">
      <c r="C208" s="97" t="s">
        <v>307</v>
      </c>
      <c r="D208" s="98" t="s">
        <v>308</v>
      </c>
      <c r="E208" s="98">
        <v>1</v>
      </c>
      <c r="F208" s="135" t="s">
        <v>72</v>
      </c>
      <c r="G208" s="100">
        <v>0</v>
      </c>
      <c r="H208" s="101">
        <f t="shared" ref="H208:H209" si="39">E208*G208</f>
        <v>0</v>
      </c>
      <c r="I208" s="102">
        <f t="shared" si="33"/>
        <v>0</v>
      </c>
      <c r="K208" s="97"/>
      <c r="L208" s="148">
        <f>Table1354[[#This Row],[Total]]</f>
        <v>0</v>
      </c>
    </row>
    <row r="209" spans="3:12" ht="13.5" x14ac:dyDescent="0.25">
      <c r="C209" s="97" t="s">
        <v>307</v>
      </c>
      <c r="D209" s="98" t="s">
        <v>853</v>
      </c>
      <c r="E209" s="98">
        <v>1</v>
      </c>
      <c r="F209" s="135" t="s">
        <v>72</v>
      </c>
      <c r="G209" s="100">
        <v>0</v>
      </c>
      <c r="H209" s="101">
        <f t="shared" si="39"/>
        <v>0</v>
      </c>
      <c r="I209" s="102">
        <f t="shared" si="33"/>
        <v>0</v>
      </c>
      <c r="K209" s="97"/>
      <c r="L209" s="148">
        <f>Table1354[[#This Row],[Total]]</f>
        <v>0</v>
      </c>
    </row>
    <row r="210" spans="3:12" ht="16" x14ac:dyDescent="0.35">
      <c r="C210" s="121"/>
      <c r="D210" s="122"/>
      <c r="E210" s="122"/>
      <c r="F210" s="136"/>
      <c r="G210" s="126" t="s">
        <v>854</v>
      </c>
      <c r="H210" s="123">
        <f>SUM(H208:H209)</f>
        <v>0</v>
      </c>
      <c r="I210" s="124">
        <f t="shared" si="33"/>
        <v>0</v>
      </c>
      <c r="K210" s="125"/>
      <c r="L210" s="123">
        <f>SUM(L208:L209)</f>
        <v>0</v>
      </c>
    </row>
    <row r="211" spans="3:12" ht="13.5" x14ac:dyDescent="0.25">
      <c r="C211" s="97" t="s">
        <v>310</v>
      </c>
      <c r="D211" s="98" t="s">
        <v>311</v>
      </c>
      <c r="E211" s="98">
        <v>1</v>
      </c>
      <c r="F211" s="135" t="s">
        <v>72</v>
      </c>
      <c r="G211" s="100">
        <v>0</v>
      </c>
      <c r="H211" s="101">
        <f t="shared" ref="H211" si="40">E211*G211</f>
        <v>0</v>
      </c>
      <c r="I211" s="102">
        <f t="shared" si="33"/>
        <v>0</v>
      </c>
      <c r="K211" s="97"/>
      <c r="L211" s="148">
        <f>Table1354[[#This Row],[Total]]</f>
        <v>0</v>
      </c>
    </row>
    <row r="212" spans="3:12" ht="16" x14ac:dyDescent="0.35">
      <c r="C212" s="121"/>
      <c r="D212" s="122"/>
      <c r="E212" s="122"/>
      <c r="F212" s="136"/>
      <c r="G212" s="126" t="s">
        <v>855</v>
      </c>
      <c r="H212" s="123">
        <f>SUM(H211)</f>
        <v>0</v>
      </c>
      <c r="I212" s="124">
        <f t="shared" si="33"/>
        <v>0</v>
      </c>
      <c r="K212" s="125"/>
      <c r="L212" s="123">
        <f>SUM(L211)</f>
        <v>0</v>
      </c>
    </row>
    <row r="213" spans="3:12" ht="13.5" x14ac:dyDescent="0.25">
      <c r="C213" s="97" t="s">
        <v>312</v>
      </c>
      <c r="D213" s="98" t="s">
        <v>313</v>
      </c>
      <c r="E213" s="98">
        <v>100</v>
      </c>
      <c r="F213" s="135" t="s">
        <v>25</v>
      </c>
      <c r="G213" s="100">
        <v>0</v>
      </c>
      <c r="H213" s="101">
        <f t="shared" ref="H213:H214" si="41">E213*G213</f>
        <v>0</v>
      </c>
      <c r="I213" s="102">
        <f t="shared" si="33"/>
        <v>0</v>
      </c>
      <c r="K213" s="97"/>
      <c r="L213" s="148">
        <f>Table1354[[#This Row],[Total]]</f>
        <v>0</v>
      </c>
    </row>
    <row r="214" spans="3:12" ht="13.5" x14ac:dyDescent="0.25">
      <c r="C214" s="97" t="s">
        <v>314</v>
      </c>
      <c r="D214" s="98" t="s">
        <v>315</v>
      </c>
      <c r="E214" s="98">
        <v>0</v>
      </c>
      <c r="F214" s="135" t="s">
        <v>27</v>
      </c>
      <c r="G214" s="100">
        <v>0</v>
      </c>
      <c r="H214" s="101">
        <f t="shared" si="41"/>
        <v>0</v>
      </c>
      <c r="I214" s="102">
        <f t="shared" si="33"/>
        <v>0</v>
      </c>
      <c r="K214" s="97"/>
      <c r="L214" s="148">
        <f>Table1354[[#This Row],[Total]]</f>
        <v>0</v>
      </c>
    </row>
    <row r="215" spans="3:12" ht="16" x14ac:dyDescent="0.35">
      <c r="C215" s="121"/>
      <c r="D215" s="122"/>
      <c r="E215" s="122"/>
      <c r="F215" s="136"/>
      <c r="G215" s="126" t="s">
        <v>856</v>
      </c>
      <c r="H215" s="123">
        <f>SUM(H213:H214)</f>
        <v>0</v>
      </c>
      <c r="I215" s="124">
        <f t="shared" si="33"/>
        <v>0</v>
      </c>
      <c r="K215" s="125"/>
      <c r="L215" s="123">
        <f>SUM(L213:L214)</f>
        <v>0</v>
      </c>
    </row>
    <row r="216" spans="3:12" ht="13.5" x14ac:dyDescent="0.25">
      <c r="C216" s="97" t="s">
        <v>316</v>
      </c>
      <c r="D216" s="98" t="s">
        <v>317</v>
      </c>
      <c r="E216" s="98">
        <v>0</v>
      </c>
      <c r="F216" s="135" t="s">
        <v>72</v>
      </c>
      <c r="G216" s="100">
        <v>0</v>
      </c>
      <c r="H216" s="101">
        <f t="shared" ref="H216" si="42">E216*G216</f>
        <v>0</v>
      </c>
      <c r="I216" s="102">
        <f t="shared" si="33"/>
        <v>0</v>
      </c>
      <c r="K216" s="97"/>
      <c r="L216" s="148">
        <f>Table1354[[#This Row],[Total]]</f>
        <v>0</v>
      </c>
    </row>
    <row r="217" spans="3:12" ht="16" x14ac:dyDescent="0.35">
      <c r="C217" s="121"/>
      <c r="D217" s="122"/>
      <c r="E217" s="122"/>
      <c r="F217" s="136"/>
      <c r="G217" s="126" t="s">
        <v>857</v>
      </c>
      <c r="H217" s="123">
        <f>SUM(H216:H216)</f>
        <v>0</v>
      </c>
      <c r="I217" s="124">
        <f t="shared" si="33"/>
        <v>0</v>
      </c>
      <c r="K217" s="125"/>
      <c r="L217" s="123">
        <f>SUM(L216:L216)</f>
        <v>0</v>
      </c>
    </row>
    <row r="218" spans="3:12" ht="18" thickBot="1" x14ac:dyDescent="0.4">
      <c r="C218" s="118"/>
      <c r="D218" s="119"/>
      <c r="E218" s="119"/>
      <c r="F218" s="137"/>
      <c r="G218" s="119" t="s">
        <v>858</v>
      </c>
      <c r="H218" s="120">
        <f>SUM(H197,H199,H201,H203,H205,H207,H210,H212,H215,H217)</f>
        <v>0</v>
      </c>
      <c r="I218" s="127">
        <f t="shared" si="33"/>
        <v>0</v>
      </c>
      <c r="K218" s="140"/>
      <c r="L218" s="120">
        <f>SUM(L197,L199,L201,L203,L205,L207,L210,L212,L215,L217)</f>
        <v>0</v>
      </c>
    </row>
    <row r="219" spans="3:12" ht="17.5" x14ac:dyDescent="0.35">
      <c r="C219" s="116" t="s">
        <v>859</v>
      </c>
      <c r="D219" s="117"/>
      <c r="E219" s="117"/>
      <c r="F219" s="138"/>
      <c r="G219" s="117"/>
      <c r="H219" s="128"/>
      <c r="I219" s="129"/>
      <c r="K219" s="141"/>
      <c r="L219" s="149"/>
    </row>
    <row r="220" spans="3:12" ht="13.5" x14ac:dyDescent="0.25">
      <c r="C220" s="97" t="s">
        <v>319</v>
      </c>
      <c r="D220" s="98" t="s">
        <v>320</v>
      </c>
      <c r="E220" s="98">
        <v>100</v>
      </c>
      <c r="F220" s="135" t="s">
        <v>25</v>
      </c>
      <c r="G220" s="100">
        <v>0</v>
      </c>
      <c r="H220" s="101">
        <f t="shared" ref="H220:H240" si="43">E220*G220</f>
        <v>0</v>
      </c>
      <c r="I220" s="102">
        <f t="shared" ref="I220:I242" si="44">IF($I$4=0, 0, H220/$I$4)</f>
        <v>0</v>
      </c>
      <c r="K220" s="97"/>
      <c r="L220" s="148">
        <f>Table1354[[#This Row],[Total]]</f>
        <v>0</v>
      </c>
    </row>
    <row r="221" spans="3:12" ht="13.5" x14ac:dyDescent="0.25">
      <c r="C221" s="97" t="s">
        <v>319</v>
      </c>
      <c r="D221" s="98" t="s">
        <v>860</v>
      </c>
      <c r="E221" s="98">
        <v>1</v>
      </c>
      <c r="F221" s="135" t="s">
        <v>25</v>
      </c>
      <c r="G221" s="100">
        <v>0</v>
      </c>
      <c r="H221" s="101">
        <f t="shared" si="43"/>
        <v>0</v>
      </c>
      <c r="I221" s="102">
        <f t="shared" si="44"/>
        <v>0</v>
      </c>
      <c r="K221" s="97"/>
      <c r="L221" s="148">
        <f>Table1354[[#This Row],[Total]]</f>
        <v>0</v>
      </c>
    </row>
    <row r="222" spans="3:12" ht="13.5" x14ac:dyDescent="0.25">
      <c r="C222" s="97" t="s">
        <v>319</v>
      </c>
      <c r="D222" s="98" t="s">
        <v>321</v>
      </c>
      <c r="E222" s="98">
        <v>1</v>
      </c>
      <c r="F222" s="135" t="s">
        <v>25</v>
      </c>
      <c r="G222" s="100">
        <v>0</v>
      </c>
      <c r="H222" s="101">
        <f t="shared" si="43"/>
        <v>0</v>
      </c>
      <c r="I222" s="102">
        <f t="shared" si="44"/>
        <v>0</v>
      </c>
      <c r="K222" s="97"/>
      <c r="L222" s="148">
        <f>Table1354[[#This Row],[Total]]</f>
        <v>0</v>
      </c>
    </row>
    <row r="223" spans="3:12" ht="13.5" x14ac:dyDescent="0.25">
      <c r="C223" s="97" t="s">
        <v>322</v>
      </c>
      <c r="D223" s="98" t="s">
        <v>323</v>
      </c>
      <c r="E223" s="98">
        <v>0</v>
      </c>
      <c r="F223" s="135" t="s">
        <v>72</v>
      </c>
      <c r="G223" s="100">
        <v>0</v>
      </c>
      <c r="H223" s="101">
        <f t="shared" si="43"/>
        <v>0</v>
      </c>
      <c r="I223" s="102">
        <f t="shared" si="44"/>
        <v>0</v>
      </c>
      <c r="K223" s="97"/>
      <c r="L223" s="148">
        <f>Table1354[[#This Row],[Total]]</f>
        <v>0</v>
      </c>
    </row>
    <row r="224" spans="3:12" ht="13.5" x14ac:dyDescent="0.25">
      <c r="C224" s="97" t="s">
        <v>324</v>
      </c>
      <c r="D224" s="98" t="s">
        <v>861</v>
      </c>
      <c r="E224" s="98">
        <v>1</v>
      </c>
      <c r="F224" s="135" t="s">
        <v>72</v>
      </c>
      <c r="G224" s="100">
        <v>0</v>
      </c>
      <c r="H224" s="101">
        <f t="shared" si="43"/>
        <v>0</v>
      </c>
      <c r="I224" s="102">
        <f t="shared" si="44"/>
        <v>0</v>
      </c>
      <c r="K224" s="97"/>
      <c r="L224" s="148">
        <f>Table1354[[#This Row],[Total]]</f>
        <v>0</v>
      </c>
    </row>
    <row r="225" spans="3:12" ht="13.5" x14ac:dyDescent="0.25">
      <c r="C225" s="97" t="s">
        <v>326</v>
      </c>
      <c r="D225" s="98" t="s">
        <v>327</v>
      </c>
      <c r="E225" s="98">
        <v>50</v>
      </c>
      <c r="F225" s="135" t="s">
        <v>25</v>
      </c>
      <c r="G225" s="100">
        <v>0</v>
      </c>
      <c r="H225" s="101">
        <f t="shared" si="43"/>
        <v>0</v>
      </c>
      <c r="I225" s="102">
        <f t="shared" si="44"/>
        <v>0</v>
      </c>
      <c r="K225" s="97"/>
      <c r="L225" s="148">
        <f>Table1354[[#This Row],[Total]]</f>
        <v>0</v>
      </c>
    </row>
    <row r="226" spans="3:12" ht="13.5" x14ac:dyDescent="0.25">
      <c r="C226" s="97" t="s">
        <v>328</v>
      </c>
      <c r="D226" s="98" t="s">
        <v>329</v>
      </c>
      <c r="E226" s="98">
        <v>0</v>
      </c>
      <c r="F226" s="135" t="s">
        <v>72</v>
      </c>
      <c r="G226" s="100">
        <v>0</v>
      </c>
      <c r="H226" s="101">
        <f t="shared" si="43"/>
        <v>0</v>
      </c>
      <c r="I226" s="102">
        <f t="shared" si="44"/>
        <v>0</v>
      </c>
      <c r="K226" s="97"/>
      <c r="L226" s="148">
        <f>Table1354[[#This Row],[Total]]</f>
        <v>0</v>
      </c>
    </row>
    <row r="227" spans="3:12" ht="13.5" x14ac:dyDescent="0.25">
      <c r="C227" s="97" t="s">
        <v>330</v>
      </c>
      <c r="D227" s="98" t="s">
        <v>862</v>
      </c>
      <c r="E227" s="98">
        <v>1</v>
      </c>
      <c r="F227" s="135" t="s">
        <v>72</v>
      </c>
      <c r="G227" s="100">
        <v>0</v>
      </c>
      <c r="H227" s="101">
        <f t="shared" si="43"/>
        <v>0</v>
      </c>
      <c r="I227" s="102">
        <f t="shared" si="44"/>
        <v>0</v>
      </c>
      <c r="K227" s="97"/>
      <c r="L227" s="148">
        <f>Table1354[[#This Row],[Total]]</f>
        <v>0</v>
      </c>
    </row>
    <row r="228" spans="3:12" ht="13.5" x14ac:dyDescent="0.25">
      <c r="C228" s="97" t="s">
        <v>332</v>
      </c>
      <c r="D228" s="98" t="s">
        <v>863</v>
      </c>
      <c r="E228" s="98">
        <v>100</v>
      </c>
      <c r="F228" s="135" t="s">
        <v>25</v>
      </c>
      <c r="G228" s="100">
        <v>0</v>
      </c>
      <c r="H228" s="101">
        <f t="shared" si="43"/>
        <v>0</v>
      </c>
      <c r="I228" s="102">
        <f t="shared" si="44"/>
        <v>0</v>
      </c>
      <c r="K228" s="97"/>
      <c r="L228" s="148">
        <f>Table1354[[#This Row],[Total]]</f>
        <v>0</v>
      </c>
    </row>
    <row r="229" spans="3:12" ht="13.5" x14ac:dyDescent="0.25">
      <c r="C229" s="97" t="s">
        <v>334</v>
      </c>
      <c r="D229" s="98" t="s">
        <v>864</v>
      </c>
      <c r="E229" s="98">
        <v>100</v>
      </c>
      <c r="F229" s="135" t="s">
        <v>25</v>
      </c>
      <c r="G229" s="100">
        <v>0</v>
      </c>
      <c r="H229" s="101">
        <f t="shared" si="43"/>
        <v>0</v>
      </c>
      <c r="I229" s="102">
        <f t="shared" si="44"/>
        <v>0</v>
      </c>
      <c r="K229" s="97"/>
      <c r="L229" s="148">
        <f>Table1354[[#This Row],[Total]]</f>
        <v>0</v>
      </c>
    </row>
    <row r="230" spans="3:12" ht="13.5" x14ac:dyDescent="0.25">
      <c r="C230" s="97" t="s">
        <v>336</v>
      </c>
      <c r="D230" s="98" t="s">
        <v>337</v>
      </c>
      <c r="E230" s="98">
        <v>30</v>
      </c>
      <c r="F230" s="135" t="s">
        <v>25</v>
      </c>
      <c r="G230" s="100">
        <v>0</v>
      </c>
      <c r="H230" s="101">
        <f t="shared" si="43"/>
        <v>0</v>
      </c>
      <c r="I230" s="102">
        <f t="shared" si="44"/>
        <v>0</v>
      </c>
      <c r="K230" s="97"/>
      <c r="L230" s="148">
        <f>Table1354[[#This Row],[Total]]</f>
        <v>0</v>
      </c>
    </row>
    <row r="231" spans="3:12" ht="13.5" x14ac:dyDescent="0.25">
      <c r="C231" s="97" t="s">
        <v>336</v>
      </c>
      <c r="D231" s="98" t="s">
        <v>338</v>
      </c>
      <c r="E231" s="98">
        <v>1</v>
      </c>
      <c r="F231" s="135" t="s">
        <v>25</v>
      </c>
      <c r="G231" s="100">
        <v>0</v>
      </c>
      <c r="H231" s="101">
        <f t="shared" si="43"/>
        <v>0</v>
      </c>
      <c r="I231" s="102">
        <f t="shared" si="44"/>
        <v>0</v>
      </c>
      <c r="K231" s="97"/>
      <c r="L231" s="148">
        <f>Table1354[[#This Row],[Total]]</f>
        <v>0</v>
      </c>
    </row>
    <row r="232" spans="3:12" ht="13.5" x14ac:dyDescent="0.25">
      <c r="C232" s="97" t="s">
        <v>339</v>
      </c>
      <c r="D232" s="98" t="s">
        <v>340</v>
      </c>
      <c r="E232" s="98">
        <v>2</v>
      </c>
      <c r="F232" s="135" t="s">
        <v>25</v>
      </c>
      <c r="G232" s="100">
        <v>0</v>
      </c>
      <c r="H232" s="101">
        <f t="shared" si="43"/>
        <v>0</v>
      </c>
      <c r="I232" s="102">
        <f t="shared" si="44"/>
        <v>0</v>
      </c>
      <c r="K232" s="97"/>
      <c r="L232" s="148">
        <f>Table1354[[#This Row],[Total]]</f>
        <v>0</v>
      </c>
    </row>
    <row r="233" spans="3:12" ht="13.5" x14ac:dyDescent="0.25">
      <c r="C233" s="97" t="s">
        <v>341</v>
      </c>
      <c r="D233" s="98" t="s">
        <v>865</v>
      </c>
      <c r="E233" s="98">
        <v>20</v>
      </c>
      <c r="F233" s="135" t="s">
        <v>25</v>
      </c>
      <c r="G233" s="100">
        <v>0</v>
      </c>
      <c r="H233" s="101">
        <f t="shared" si="43"/>
        <v>0</v>
      </c>
      <c r="I233" s="102">
        <f t="shared" si="44"/>
        <v>0</v>
      </c>
      <c r="K233" s="97"/>
      <c r="L233" s="148">
        <f>Table1354[[#This Row],[Total]]</f>
        <v>0</v>
      </c>
    </row>
    <row r="234" spans="3:12" ht="13.5" x14ac:dyDescent="0.25">
      <c r="C234" s="97" t="s">
        <v>343</v>
      </c>
      <c r="D234" s="98" t="s">
        <v>344</v>
      </c>
      <c r="E234" s="98">
        <v>0</v>
      </c>
      <c r="F234" s="135" t="s">
        <v>72</v>
      </c>
      <c r="G234" s="100">
        <v>0</v>
      </c>
      <c r="H234" s="101">
        <f t="shared" si="43"/>
        <v>0</v>
      </c>
      <c r="I234" s="102">
        <f t="shared" si="44"/>
        <v>0</v>
      </c>
      <c r="K234" s="97"/>
      <c r="L234" s="148">
        <f>Table1354[[#This Row],[Total]]</f>
        <v>0</v>
      </c>
    </row>
    <row r="235" spans="3:12" ht="13.5" x14ac:dyDescent="0.25">
      <c r="C235" s="97" t="s">
        <v>345</v>
      </c>
      <c r="D235" s="98" t="s">
        <v>346</v>
      </c>
      <c r="E235" s="98">
        <v>100</v>
      </c>
      <c r="F235" s="135" t="s">
        <v>25</v>
      </c>
      <c r="G235" s="100">
        <v>0</v>
      </c>
      <c r="H235" s="101">
        <f t="shared" si="43"/>
        <v>0</v>
      </c>
      <c r="I235" s="102">
        <f t="shared" si="44"/>
        <v>0</v>
      </c>
      <c r="K235" s="97"/>
      <c r="L235" s="148">
        <f>Table1354[[#This Row],[Total]]</f>
        <v>0</v>
      </c>
    </row>
    <row r="236" spans="3:12" ht="13.5" x14ac:dyDescent="0.25">
      <c r="C236" s="97" t="s">
        <v>345</v>
      </c>
      <c r="D236" s="98" t="s">
        <v>347</v>
      </c>
      <c r="E236" s="98">
        <v>0</v>
      </c>
      <c r="F236" s="135" t="s">
        <v>72</v>
      </c>
      <c r="G236" s="100">
        <v>0</v>
      </c>
      <c r="H236" s="101">
        <f t="shared" si="43"/>
        <v>0</v>
      </c>
      <c r="I236" s="102">
        <f t="shared" si="44"/>
        <v>0</v>
      </c>
      <c r="K236" s="97"/>
      <c r="L236" s="148">
        <f>Table1354[[#This Row],[Total]]</f>
        <v>0</v>
      </c>
    </row>
    <row r="237" spans="3:12" ht="13.5" x14ac:dyDescent="0.25">
      <c r="C237" s="97" t="s">
        <v>348</v>
      </c>
      <c r="D237" s="98" t="s">
        <v>349</v>
      </c>
      <c r="E237" s="98">
        <v>100</v>
      </c>
      <c r="F237" s="135" t="s">
        <v>25</v>
      </c>
      <c r="G237" s="100">
        <v>0</v>
      </c>
      <c r="H237" s="101">
        <f t="shared" si="43"/>
        <v>0</v>
      </c>
      <c r="I237" s="102">
        <f t="shared" si="44"/>
        <v>0</v>
      </c>
      <c r="K237" s="97"/>
      <c r="L237" s="148">
        <f>Table1354[[#This Row],[Total]]</f>
        <v>0</v>
      </c>
    </row>
    <row r="238" spans="3:12" ht="13.5" x14ac:dyDescent="0.25">
      <c r="C238" s="97" t="s">
        <v>350</v>
      </c>
      <c r="D238" s="98" t="s">
        <v>866</v>
      </c>
      <c r="E238" s="98">
        <v>0</v>
      </c>
      <c r="F238" s="135" t="s">
        <v>72</v>
      </c>
      <c r="G238" s="100">
        <v>0</v>
      </c>
      <c r="H238" s="101">
        <f t="shared" si="43"/>
        <v>0</v>
      </c>
      <c r="I238" s="102">
        <f t="shared" si="44"/>
        <v>0</v>
      </c>
      <c r="K238" s="97"/>
      <c r="L238" s="148">
        <f>Table1354[[#This Row],[Total]]</f>
        <v>0</v>
      </c>
    </row>
    <row r="239" spans="3:12" ht="13.5" x14ac:dyDescent="0.25">
      <c r="C239" s="97" t="s">
        <v>352</v>
      </c>
      <c r="D239" s="98" t="s">
        <v>353</v>
      </c>
      <c r="E239" s="98">
        <v>0</v>
      </c>
      <c r="F239" s="135" t="s">
        <v>72</v>
      </c>
      <c r="G239" s="100">
        <v>0</v>
      </c>
      <c r="H239" s="101">
        <f t="shared" si="43"/>
        <v>0</v>
      </c>
      <c r="I239" s="102">
        <f t="shared" si="44"/>
        <v>0</v>
      </c>
      <c r="K239" s="97"/>
      <c r="L239" s="148">
        <f>Table1354[[#This Row],[Total]]</f>
        <v>0</v>
      </c>
    </row>
    <row r="240" spans="3:12" ht="13.5" x14ac:dyDescent="0.25">
      <c r="C240" s="97" t="s">
        <v>354</v>
      </c>
      <c r="D240" s="98" t="s">
        <v>355</v>
      </c>
      <c r="E240" s="98">
        <v>0</v>
      </c>
      <c r="F240" s="135" t="s">
        <v>72</v>
      </c>
      <c r="G240" s="100">
        <v>0</v>
      </c>
      <c r="H240" s="101">
        <f t="shared" si="43"/>
        <v>0</v>
      </c>
      <c r="I240" s="102">
        <f t="shared" si="44"/>
        <v>0</v>
      </c>
      <c r="K240" s="97"/>
      <c r="L240" s="148">
        <f>Table1354[[#This Row],[Total]]</f>
        <v>0</v>
      </c>
    </row>
    <row r="241" spans="3:12" ht="16" x14ac:dyDescent="0.35">
      <c r="C241" s="121"/>
      <c r="D241" s="122"/>
      <c r="E241" s="122"/>
      <c r="F241" s="136"/>
      <c r="G241" s="126" t="s">
        <v>867</v>
      </c>
      <c r="H241" s="123">
        <f>SUM(H220:H240)</f>
        <v>0</v>
      </c>
      <c r="I241" s="124">
        <f t="shared" si="44"/>
        <v>0</v>
      </c>
      <c r="K241" s="125"/>
      <c r="L241" s="123">
        <f>SUM(L220:L240)</f>
        <v>0</v>
      </c>
    </row>
    <row r="242" spans="3:12" ht="18" thickBot="1" x14ac:dyDescent="0.4">
      <c r="C242" s="118"/>
      <c r="D242" s="119"/>
      <c r="E242" s="119"/>
      <c r="F242" s="137"/>
      <c r="G242" s="119" t="s">
        <v>868</v>
      </c>
      <c r="H242" s="120">
        <f>SUM(H241)</f>
        <v>0</v>
      </c>
      <c r="I242" s="127">
        <f t="shared" si="44"/>
        <v>0</v>
      </c>
      <c r="K242" s="140"/>
      <c r="L242" s="120">
        <f>SUM(L241)</f>
        <v>0</v>
      </c>
    </row>
    <row r="243" spans="3:12" ht="17.5" x14ac:dyDescent="0.35">
      <c r="C243" s="116" t="s">
        <v>869</v>
      </c>
      <c r="D243" s="117"/>
      <c r="E243" s="117"/>
      <c r="F243" s="138"/>
      <c r="G243" s="117"/>
      <c r="H243" s="128"/>
      <c r="I243" s="129"/>
      <c r="K243" s="141"/>
      <c r="L243" s="149"/>
    </row>
    <row r="244" spans="3:12" ht="13.5" x14ac:dyDescent="0.25">
      <c r="C244" s="97" t="s">
        <v>356</v>
      </c>
      <c r="D244" s="98" t="s">
        <v>357</v>
      </c>
      <c r="E244" s="98">
        <v>0</v>
      </c>
      <c r="F244" s="135" t="s">
        <v>72</v>
      </c>
      <c r="G244" s="100">
        <v>0</v>
      </c>
      <c r="H244" s="101">
        <f t="shared" ref="H244:H250" si="45">E244*G244</f>
        <v>0</v>
      </c>
      <c r="I244" s="102">
        <f t="shared" ref="I244:I252" si="46">IF($I$4=0, 0, H244/$I$4)</f>
        <v>0</v>
      </c>
      <c r="K244" s="97"/>
      <c r="L244" s="148">
        <f>Table1354[[#This Row],[Total]]</f>
        <v>0</v>
      </c>
    </row>
    <row r="245" spans="3:12" ht="13.5" x14ac:dyDescent="0.25">
      <c r="C245" s="97" t="s">
        <v>358</v>
      </c>
      <c r="D245" s="98" t="s">
        <v>359</v>
      </c>
      <c r="E245" s="98">
        <v>1</v>
      </c>
      <c r="F245" s="135" t="s">
        <v>72</v>
      </c>
      <c r="G245" s="100">
        <v>0</v>
      </c>
      <c r="H245" s="101">
        <f t="shared" si="45"/>
        <v>0</v>
      </c>
      <c r="I245" s="102">
        <f t="shared" si="46"/>
        <v>0</v>
      </c>
      <c r="K245" s="97"/>
      <c r="L245" s="148">
        <f>Table1354[[#This Row],[Total]]</f>
        <v>0</v>
      </c>
    </row>
    <row r="246" spans="3:12" ht="13.5" x14ac:dyDescent="0.25">
      <c r="C246" s="97" t="s">
        <v>360</v>
      </c>
      <c r="D246" s="98" t="s">
        <v>361</v>
      </c>
      <c r="E246" s="98">
        <v>100</v>
      </c>
      <c r="F246" s="135" t="s">
        <v>25</v>
      </c>
      <c r="G246" s="100">
        <v>0</v>
      </c>
      <c r="H246" s="101">
        <f t="shared" si="45"/>
        <v>0</v>
      </c>
      <c r="I246" s="102">
        <f t="shared" si="46"/>
        <v>0</v>
      </c>
      <c r="K246" s="97"/>
      <c r="L246" s="148">
        <f>Table1354[[#This Row],[Total]]</f>
        <v>0</v>
      </c>
    </row>
    <row r="247" spans="3:12" ht="13.5" x14ac:dyDescent="0.25">
      <c r="C247" s="97" t="s">
        <v>362</v>
      </c>
      <c r="D247" s="98" t="s">
        <v>363</v>
      </c>
      <c r="E247" s="98">
        <v>3</v>
      </c>
      <c r="F247" s="135" t="s">
        <v>25</v>
      </c>
      <c r="G247" s="100">
        <v>0</v>
      </c>
      <c r="H247" s="101">
        <f t="shared" si="45"/>
        <v>0</v>
      </c>
      <c r="I247" s="102">
        <f t="shared" si="46"/>
        <v>0</v>
      </c>
      <c r="K247" s="97"/>
      <c r="L247" s="148">
        <f>Table1354[[#This Row],[Total]]</f>
        <v>0</v>
      </c>
    </row>
    <row r="248" spans="3:12" ht="13.5" x14ac:dyDescent="0.25">
      <c r="C248" s="97" t="s">
        <v>364</v>
      </c>
      <c r="D248" s="98" t="s">
        <v>365</v>
      </c>
      <c r="E248" s="98">
        <v>0</v>
      </c>
      <c r="F248" s="135" t="s">
        <v>72</v>
      </c>
      <c r="G248" s="100">
        <v>0</v>
      </c>
      <c r="H248" s="101">
        <f t="shared" si="45"/>
        <v>0</v>
      </c>
      <c r="I248" s="102">
        <f t="shared" si="46"/>
        <v>0</v>
      </c>
      <c r="K248" s="97"/>
      <c r="L248" s="148">
        <f>Table1354[[#This Row],[Total]]</f>
        <v>0</v>
      </c>
    </row>
    <row r="249" spans="3:12" ht="13.5" x14ac:dyDescent="0.25">
      <c r="C249" s="97" t="s">
        <v>366</v>
      </c>
      <c r="D249" s="98" t="s">
        <v>367</v>
      </c>
      <c r="E249" s="98">
        <v>0</v>
      </c>
      <c r="F249" s="135" t="s">
        <v>72</v>
      </c>
      <c r="G249" s="100">
        <v>0</v>
      </c>
      <c r="H249" s="101">
        <f t="shared" si="45"/>
        <v>0</v>
      </c>
      <c r="I249" s="102">
        <f t="shared" si="46"/>
        <v>0</v>
      </c>
      <c r="K249" s="97"/>
      <c r="L249" s="148">
        <f>Table1354[[#This Row],[Total]]</f>
        <v>0</v>
      </c>
    </row>
    <row r="250" spans="3:12" ht="13.5" x14ac:dyDescent="0.25">
      <c r="C250" s="97" t="s">
        <v>368</v>
      </c>
      <c r="D250" s="98" t="s">
        <v>369</v>
      </c>
      <c r="E250" s="98">
        <v>0</v>
      </c>
      <c r="F250" s="135" t="s">
        <v>72</v>
      </c>
      <c r="G250" s="100">
        <v>0</v>
      </c>
      <c r="H250" s="101">
        <f t="shared" si="45"/>
        <v>0</v>
      </c>
      <c r="I250" s="102">
        <f t="shared" si="46"/>
        <v>0</v>
      </c>
      <c r="K250" s="97"/>
      <c r="L250" s="148">
        <f>Table1354[[#This Row],[Total]]</f>
        <v>0</v>
      </c>
    </row>
    <row r="251" spans="3:12" ht="16" x14ac:dyDescent="0.35">
      <c r="C251" s="121"/>
      <c r="D251" s="122"/>
      <c r="E251" s="122"/>
      <c r="F251" s="136"/>
      <c r="G251" s="126" t="s">
        <v>870</v>
      </c>
      <c r="H251" s="123">
        <f>SUM(H244:H250)</f>
        <v>0</v>
      </c>
      <c r="I251" s="124">
        <f t="shared" si="46"/>
        <v>0</v>
      </c>
      <c r="K251" s="125"/>
      <c r="L251" s="123">
        <f>SUM(L244:L250)</f>
        <v>0</v>
      </c>
    </row>
    <row r="252" spans="3:12" ht="18" thickBot="1" x14ac:dyDescent="0.4">
      <c r="C252" s="118"/>
      <c r="D252" s="119"/>
      <c r="E252" s="119"/>
      <c r="F252" s="137"/>
      <c r="G252" s="119" t="s">
        <v>871</v>
      </c>
      <c r="H252" s="120">
        <f>SUM(H251)</f>
        <v>0</v>
      </c>
      <c r="I252" s="127">
        <f t="shared" si="46"/>
        <v>0</v>
      </c>
      <c r="K252" s="140"/>
      <c r="L252" s="120">
        <f>SUM(L251)</f>
        <v>0</v>
      </c>
    </row>
    <row r="253" spans="3:12" ht="17.5" x14ac:dyDescent="0.35">
      <c r="C253" s="116" t="s">
        <v>872</v>
      </c>
      <c r="D253" s="117"/>
      <c r="E253" s="117"/>
      <c r="F253" s="138"/>
      <c r="G253" s="117"/>
      <c r="H253" s="128"/>
      <c r="I253" s="129"/>
      <c r="K253" s="141"/>
      <c r="L253" s="149"/>
    </row>
    <row r="254" spans="3:12" ht="13.5" x14ac:dyDescent="0.25">
      <c r="C254" s="97" t="s">
        <v>370</v>
      </c>
      <c r="D254" s="98" t="s">
        <v>371</v>
      </c>
      <c r="E254" s="98">
        <v>100</v>
      </c>
      <c r="F254" s="135" t="s">
        <v>25</v>
      </c>
      <c r="G254" s="100">
        <v>0</v>
      </c>
      <c r="H254" s="101">
        <f t="shared" ref="H254:H261" si="47">E254*G254</f>
        <v>0</v>
      </c>
      <c r="I254" s="102">
        <f t="shared" ref="I254:I263" si="48">IF($I$4=0, 0, H254/$I$4)</f>
        <v>0</v>
      </c>
      <c r="K254" s="97"/>
      <c r="L254" s="148">
        <f>Table1354[[#This Row],[Total]]</f>
        <v>0</v>
      </c>
    </row>
    <row r="255" spans="3:12" ht="13.5" x14ac:dyDescent="0.25">
      <c r="C255" s="97" t="s">
        <v>372</v>
      </c>
      <c r="D255" s="98" t="s">
        <v>873</v>
      </c>
      <c r="E255" s="98">
        <v>100</v>
      </c>
      <c r="F255" s="135" t="s">
        <v>25</v>
      </c>
      <c r="G255" s="100">
        <v>0</v>
      </c>
      <c r="H255" s="101">
        <f t="shared" si="47"/>
        <v>0</v>
      </c>
      <c r="I255" s="102">
        <f t="shared" si="48"/>
        <v>0</v>
      </c>
      <c r="K255" s="97"/>
      <c r="L255" s="148">
        <f>Table1354[[#This Row],[Total]]</f>
        <v>0</v>
      </c>
    </row>
    <row r="256" spans="3:12" ht="13.5" x14ac:dyDescent="0.25">
      <c r="C256" s="97" t="s">
        <v>372</v>
      </c>
      <c r="D256" s="98" t="s">
        <v>373</v>
      </c>
      <c r="E256" s="98">
        <v>1</v>
      </c>
      <c r="F256" s="135" t="s">
        <v>72</v>
      </c>
      <c r="G256" s="100">
        <v>0</v>
      </c>
      <c r="H256" s="101">
        <f t="shared" si="47"/>
        <v>0</v>
      </c>
      <c r="I256" s="102">
        <f t="shared" si="48"/>
        <v>0</v>
      </c>
      <c r="K256" s="97"/>
      <c r="L256" s="148">
        <f>Table1354[[#This Row],[Total]]</f>
        <v>0</v>
      </c>
    </row>
    <row r="257" spans="3:12" ht="13.5" x14ac:dyDescent="0.25">
      <c r="C257" s="97" t="s">
        <v>374</v>
      </c>
      <c r="D257" s="98" t="s">
        <v>375</v>
      </c>
      <c r="E257" s="98">
        <v>100</v>
      </c>
      <c r="F257" s="135" t="s">
        <v>25</v>
      </c>
      <c r="G257" s="100">
        <v>0</v>
      </c>
      <c r="H257" s="101">
        <f t="shared" si="47"/>
        <v>0</v>
      </c>
      <c r="I257" s="102">
        <f t="shared" si="48"/>
        <v>0</v>
      </c>
      <c r="K257" s="97"/>
      <c r="L257" s="148">
        <f>Table1354[[#This Row],[Total]]</f>
        <v>0</v>
      </c>
    </row>
    <row r="258" spans="3:12" ht="13.5" x14ac:dyDescent="0.25">
      <c r="C258" s="97" t="s">
        <v>376</v>
      </c>
      <c r="D258" s="98" t="s">
        <v>377</v>
      </c>
      <c r="E258" s="98">
        <v>1</v>
      </c>
      <c r="F258" s="135" t="s">
        <v>72</v>
      </c>
      <c r="G258" s="100">
        <v>0</v>
      </c>
      <c r="H258" s="101">
        <f t="shared" si="47"/>
        <v>0</v>
      </c>
      <c r="I258" s="102">
        <f t="shared" si="48"/>
        <v>0</v>
      </c>
      <c r="K258" s="97"/>
      <c r="L258" s="148">
        <f>Table1354[[#This Row],[Total]]</f>
        <v>0</v>
      </c>
    </row>
    <row r="259" spans="3:12" ht="13.5" x14ac:dyDescent="0.25">
      <c r="C259" s="97" t="s">
        <v>378</v>
      </c>
      <c r="D259" s="98" t="s">
        <v>874</v>
      </c>
      <c r="E259" s="98">
        <v>0</v>
      </c>
      <c r="F259" s="135" t="s">
        <v>72</v>
      </c>
      <c r="G259" s="100">
        <v>0</v>
      </c>
      <c r="H259" s="101">
        <f t="shared" si="47"/>
        <v>0</v>
      </c>
      <c r="I259" s="102">
        <f t="shared" si="48"/>
        <v>0</v>
      </c>
      <c r="K259" s="97"/>
      <c r="L259" s="148">
        <f>Table1354[[#This Row],[Total]]</f>
        <v>0</v>
      </c>
    </row>
    <row r="260" spans="3:12" ht="13.5" x14ac:dyDescent="0.25">
      <c r="C260" s="97" t="s">
        <v>380</v>
      </c>
      <c r="D260" s="98" t="s">
        <v>875</v>
      </c>
      <c r="E260" s="98">
        <v>0</v>
      </c>
      <c r="F260" s="135" t="s">
        <v>72</v>
      </c>
      <c r="G260" s="100">
        <v>0</v>
      </c>
      <c r="H260" s="101">
        <f t="shared" si="47"/>
        <v>0</v>
      </c>
      <c r="I260" s="102">
        <f t="shared" si="48"/>
        <v>0</v>
      </c>
      <c r="K260" s="97"/>
      <c r="L260" s="148">
        <f>Table1354[[#This Row],[Total]]</f>
        <v>0</v>
      </c>
    </row>
    <row r="261" spans="3:12" ht="13.5" x14ac:dyDescent="0.25">
      <c r="C261" s="97" t="s">
        <v>382</v>
      </c>
      <c r="D261" s="98" t="s">
        <v>876</v>
      </c>
      <c r="E261" s="98">
        <v>1</v>
      </c>
      <c r="F261" s="135" t="s">
        <v>72</v>
      </c>
      <c r="G261" s="100">
        <v>0</v>
      </c>
      <c r="H261" s="101">
        <f t="shared" si="47"/>
        <v>0</v>
      </c>
      <c r="I261" s="102">
        <f t="shared" si="48"/>
        <v>0</v>
      </c>
      <c r="K261" s="97"/>
      <c r="L261" s="148">
        <f>Table1354[[#This Row],[Total]]</f>
        <v>0</v>
      </c>
    </row>
    <row r="262" spans="3:12" ht="16" x14ac:dyDescent="0.35">
      <c r="C262" s="121"/>
      <c r="D262" s="122"/>
      <c r="E262" s="122"/>
      <c r="F262" s="136"/>
      <c r="G262" s="126" t="s">
        <v>877</v>
      </c>
      <c r="H262" s="123">
        <f>SUM(H254:H261)</f>
        <v>0</v>
      </c>
      <c r="I262" s="124">
        <f t="shared" si="48"/>
        <v>0</v>
      </c>
      <c r="K262" s="125"/>
      <c r="L262" s="123">
        <f>SUM(L254:L261)</f>
        <v>0</v>
      </c>
    </row>
    <row r="263" spans="3:12" ht="18" thickBot="1" x14ac:dyDescent="0.4">
      <c r="C263" s="118"/>
      <c r="D263" s="119"/>
      <c r="E263" s="119"/>
      <c r="F263" s="137"/>
      <c r="G263" s="119" t="s">
        <v>878</v>
      </c>
      <c r="H263" s="120">
        <f>SUM(H262)</f>
        <v>0</v>
      </c>
      <c r="I263" s="127">
        <f t="shared" si="48"/>
        <v>0</v>
      </c>
      <c r="K263" s="140"/>
      <c r="L263" s="120">
        <f>SUM(L262)</f>
        <v>0</v>
      </c>
    </row>
    <row r="264" spans="3:12" ht="17.5" x14ac:dyDescent="0.35">
      <c r="C264" s="116" t="s">
        <v>879</v>
      </c>
      <c r="D264" s="117"/>
      <c r="E264" s="117"/>
      <c r="F264" s="138"/>
      <c r="G264" s="117"/>
      <c r="H264" s="128"/>
      <c r="I264" s="129"/>
      <c r="K264" s="141"/>
      <c r="L264" s="149"/>
    </row>
    <row r="265" spans="3:12" ht="13.5" x14ac:dyDescent="0.25">
      <c r="C265" s="97" t="s">
        <v>384</v>
      </c>
      <c r="D265" s="98" t="s">
        <v>385</v>
      </c>
      <c r="E265" s="98">
        <v>1</v>
      </c>
      <c r="F265" s="135" t="s">
        <v>72</v>
      </c>
      <c r="G265" s="100">
        <v>0</v>
      </c>
      <c r="H265" s="101">
        <f t="shared" ref="H265:H268" si="49">E265*G265</f>
        <v>0</v>
      </c>
      <c r="I265" s="102">
        <f t="shared" ref="I265:I270" si="50">IF($I$4=0, 0, H265/$I$4)</f>
        <v>0</v>
      </c>
      <c r="K265" s="97"/>
      <c r="L265" s="148">
        <f>Table1354[[#This Row],[Total]]</f>
        <v>0</v>
      </c>
    </row>
    <row r="266" spans="3:12" ht="13.5" x14ac:dyDescent="0.25">
      <c r="C266" s="97" t="s">
        <v>384</v>
      </c>
      <c r="D266" s="98" t="s">
        <v>386</v>
      </c>
      <c r="E266" s="98">
        <v>1</v>
      </c>
      <c r="F266" s="135" t="s">
        <v>72</v>
      </c>
      <c r="G266" s="100">
        <v>0</v>
      </c>
      <c r="H266" s="101">
        <f t="shared" si="49"/>
        <v>0</v>
      </c>
      <c r="I266" s="102">
        <f t="shared" si="50"/>
        <v>0</v>
      </c>
      <c r="K266" s="97"/>
      <c r="L266" s="148">
        <f>Table1354[[#This Row],[Total]]</f>
        <v>0</v>
      </c>
    </row>
    <row r="267" spans="3:12" ht="13.5" x14ac:dyDescent="0.25">
      <c r="C267" s="97" t="s">
        <v>387</v>
      </c>
      <c r="D267" s="98" t="s">
        <v>388</v>
      </c>
      <c r="E267" s="98">
        <v>2</v>
      </c>
      <c r="F267" s="135" t="s">
        <v>72</v>
      </c>
      <c r="G267" s="100">
        <v>0</v>
      </c>
      <c r="H267" s="101">
        <f t="shared" si="49"/>
        <v>0</v>
      </c>
      <c r="I267" s="102">
        <f t="shared" si="50"/>
        <v>0</v>
      </c>
      <c r="K267" s="97"/>
      <c r="L267" s="148">
        <f>Table1354[[#This Row],[Total]]</f>
        <v>0</v>
      </c>
    </row>
    <row r="268" spans="3:12" ht="13.5" x14ac:dyDescent="0.25">
      <c r="C268" s="97" t="s">
        <v>389</v>
      </c>
      <c r="D268" s="98" t="s">
        <v>390</v>
      </c>
      <c r="E268" s="98">
        <v>1</v>
      </c>
      <c r="F268" s="135" t="s">
        <v>72</v>
      </c>
      <c r="G268" s="100">
        <v>0</v>
      </c>
      <c r="H268" s="101">
        <f t="shared" si="49"/>
        <v>0</v>
      </c>
      <c r="I268" s="102">
        <f t="shared" si="50"/>
        <v>0</v>
      </c>
      <c r="K268" s="97"/>
      <c r="L268" s="148">
        <f>Table1354[[#This Row],[Total]]</f>
        <v>0</v>
      </c>
    </row>
    <row r="269" spans="3:12" ht="16" x14ac:dyDescent="0.35">
      <c r="C269" s="121"/>
      <c r="D269" s="122"/>
      <c r="E269" s="122"/>
      <c r="F269" s="136"/>
      <c r="G269" s="126" t="s">
        <v>880</v>
      </c>
      <c r="H269" s="123">
        <f>SUM(H265:H268)</f>
        <v>0</v>
      </c>
      <c r="I269" s="124">
        <f t="shared" si="50"/>
        <v>0</v>
      </c>
      <c r="K269" s="125"/>
      <c r="L269" s="123">
        <f>SUM(L265:L268)</f>
        <v>0</v>
      </c>
    </row>
    <row r="270" spans="3:12" ht="18" thickBot="1" x14ac:dyDescent="0.4">
      <c r="C270" s="118"/>
      <c r="D270" s="119"/>
      <c r="E270" s="119"/>
      <c r="F270" s="137"/>
      <c r="G270" s="119" t="s">
        <v>881</v>
      </c>
      <c r="H270" s="120">
        <f>SUM(H269)</f>
        <v>0</v>
      </c>
      <c r="I270" s="127">
        <f t="shared" si="50"/>
        <v>0</v>
      </c>
      <c r="K270" s="140"/>
      <c r="L270" s="120">
        <f>SUM(L269)</f>
        <v>0</v>
      </c>
    </row>
    <row r="271" spans="3:12" ht="17.5" x14ac:dyDescent="0.35">
      <c r="C271" s="116" t="s">
        <v>882</v>
      </c>
      <c r="D271" s="117"/>
      <c r="E271" s="117"/>
      <c r="F271" s="138"/>
      <c r="G271" s="117"/>
      <c r="H271" s="128"/>
      <c r="I271" s="129"/>
      <c r="K271" s="141"/>
      <c r="L271" s="149"/>
    </row>
    <row r="272" spans="3:12" ht="13.5" x14ac:dyDescent="0.25">
      <c r="C272" s="97" t="s">
        <v>392</v>
      </c>
      <c r="D272" s="98" t="s">
        <v>883</v>
      </c>
      <c r="E272" s="98">
        <v>0</v>
      </c>
      <c r="F272" s="135" t="s">
        <v>25</v>
      </c>
      <c r="G272" s="100">
        <v>0</v>
      </c>
      <c r="H272" s="101">
        <f t="shared" ref="H272:H275" si="51">E272*G272</f>
        <v>0</v>
      </c>
      <c r="I272" s="102">
        <f t="shared" ref="I272:I277" si="52">IF($I$4=0, 0, H272/$I$4)</f>
        <v>0</v>
      </c>
      <c r="K272" s="97"/>
      <c r="L272" s="148">
        <f>Table1354[[#This Row],[Total]]</f>
        <v>0</v>
      </c>
    </row>
    <row r="273" spans="3:12" ht="13.5" x14ac:dyDescent="0.25">
      <c r="C273" s="97" t="s">
        <v>394</v>
      </c>
      <c r="D273" s="98" t="s">
        <v>395</v>
      </c>
      <c r="E273" s="98">
        <v>14</v>
      </c>
      <c r="F273" s="135" t="s">
        <v>884</v>
      </c>
      <c r="G273" s="100">
        <v>0</v>
      </c>
      <c r="H273" s="101">
        <f t="shared" si="51"/>
        <v>0</v>
      </c>
      <c r="I273" s="102">
        <f t="shared" si="52"/>
        <v>0</v>
      </c>
      <c r="K273" s="97"/>
      <c r="L273" s="148">
        <f>Table1354[[#This Row],[Total]]</f>
        <v>0</v>
      </c>
    </row>
    <row r="274" spans="3:12" ht="13.5" x14ac:dyDescent="0.25">
      <c r="C274" s="97" t="s">
        <v>396</v>
      </c>
      <c r="D274" s="98" t="s">
        <v>397</v>
      </c>
      <c r="E274" s="98">
        <v>0</v>
      </c>
      <c r="F274" s="135" t="s">
        <v>25</v>
      </c>
      <c r="G274" s="100">
        <v>0</v>
      </c>
      <c r="H274" s="101">
        <f t="shared" si="51"/>
        <v>0</v>
      </c>
      <c r="I274" s="102">
        <f t="shared" si="52"/>
        <v>0</v>
      </c>
      <c r="K274" s="97"/>
      <c r="L274" s="148">
        <f>Table1354[[#This Row],[Total]]</f>
        <v>0</v>
      </c>
    </row>
    <row r="275" spans="3:12" ht="13.5" x14ac:dyDescent="0.25">
      <c r="C275" s="97" t="s">
        <v>398</v>
      </c>
      <c r="D275" s="98" t="s">
        <v>399</v>
      </c>
      <c r="E275" s="98">
        <v>1</v>
      </c>
      <c r="F275" s="135" t="s">
        <v>25</v>
      </c>
      <c r="G275" s="100">
        <v>0</v>
      </c>
      <c r="H275" s="101">
        <f t="shared" si="51"/>
        <v>0</v>
      </c>
      <c r="I275" s="102">
        <f t="shared" si="52"/>
        <v>0</v>
      </c>
      <c r="K275" s="97"/>
      <c r="L275" s="148">
        <f>Table1354[[#This Row],[Total]]</f>
        <v>0</v>
      </c>
    </row>
    <row r="276" spans="3:12" ht="16" x14ac:dyDescent="0.35">
      <c r="C276" s="121"/>
      <c r="D276" s="122"/>
      <c r="E276" s="122"/>
      <c r="F276" s="136"/>
      <c r="G276" s="126" t="s">
        <v>885</v>
      </c>
      <c r="H276" s="123">
        <f>SUM(H272:H275)</f>
        <v>0</v>
      </c>
      <c r="I276" s="124">
        <f t="shared" si="52"/>
        <v>0</v>
      </c>
      <c r="K276" s="125"/>
      <c r="L276" s="123">
        <f>SUM(L272:L275)</f>
        <v>0</v>
      </c>
    </row>
    <row r="277" spans="3:12" ht="18" thickBot="1" x14ac:dyDescent="0.4">
      <c r="C277" s="118"/>
      <c r="D277" s="119"/>
      <c r="E277" s="119"/>
      <c r="F277" s="137"/>
      <c r="G277" s="119" t="s">
        <v>886</v>
      </c>
      <c r="H277" s="120">
        <f>SUM(H276)</f>
        <v>0</v>
      </c>
      <c r="I277" s="127">
        <f t="shared" si="52"/>
        <v>0</v>
      </c>
      <c r="K277" s="140"/>
      <c r="L277" s="120">
        <f>SUM(L276)</f>
        <v>0</v>
      </c>
    </row>
    <row r="278" spans="3:12" ht="17.5" x14ac:dyDescent="0.35">
      <c r="C278" s="116" t="s">
        <v>887</v>
      </c>
      <c r="D278" s="117"/>
      <c r="E278" s="117"/>
      <c r="F278" s="138"/>
      <c r="G278" s="117"/>
      <c r="H278" s="128"/>
      <c r="I278" s="129"/>
      <c r="K278" s="141"/>
      <c r="L278" s="149"/>
    </row>
    <row r="279" spans="3:12" ht="13.5" x14ac:dyDescent="0.25">
      <c r="C279" s="97" t="s">
        <v>400</v>
      </c>
      <c r="D279" s="98" t="s">
        <v>401</v>
      </c>
      <c r="E279" s="98">
        <v>100</v>
      </c>
      <c r="F279" s="135" t="s">
        <v>25</v>
      </c>
      <c r="G279" s="100">
        <v>0</v>
      </c>
      <c r="H279" s="101">
        <f t="shared" ref="H279:H280" si="53">E279*G279</f>
        <v>0</v>
      </c>
      <c r="I279" s="102">
        <f t="shared" ref="I279:I282" si="54">IF($I$4=0, 0, H279/$I$4)</f>
        <v>0</v>
      </c>
      <c r="K279" s="97"/>
      <c r="L279" s="148">
        <f>Table1354[[#This Row],[Total]]</f>
        <v>0</v>
      </c>
    </row>
    <row r="280" spans="3:12" ht="13.5" x14ac:dyDescent="0.25">
      <c r="C280" s="97" t="s">
        <v>400</v>
      </c>
      <c r="D280" s="98" t="s">
        <v>402</v>
      </c>
      <c r="E280" s="98">
        <v>1</v>
      </c>
      <c r="F280" s="135" t="s">
        <v>72</v>
      </c>
      <c r="G280" s="100">
        <v>0</v>
      </c>
      <c r="H280" s="101">
        <f t="shared" si="53"/>
        <v>0</v>
      </c>
      <c r="I280" s="102">
        <f t="shared" si="54"/>
        <v>0</v>
      </c>
      <c r="K280" s="97"/>
      <c r="L280" s="148">
        <f>Table1354[[#This Row],[Total]]</f>
        <v>0</v>
      </c>
    </row>
    <row r="281" spans="3:12" ht="16" x14ac:dyDescent="0.35">
      <c r="C281" s="121"/>
      <c r="D281" s="122"/>
      <c r="E281" s="122"/>
      <c r="F281" s="136"/>
      <c r="G281" s="126" t="s">
        <v>888</v>
      </c>
      <c r="H281" s="123">
        <f>SUM(H279:H280)</f>
        <v>0</v>
      </c>
      <c r="I281" s="124">
        <f t="shared" si="54"/>
        <v>0</v>
      </c>
      <c r="K281" s="125"/>
      <c r="L281" s="123">
        <f>SUM(L279:L280)</f>
        <v>0</v>
      </c>
    </row>
    <row r="282" spans="3:12" ht="18" thickBot="1" x14ac:dyDescent="0.4">
      <c r="C282" s="118"/>
      <c r="D282" s="119"/>
      <c r="E282" s="119"/>
      <c r="F282" s="137"/>
      <c r="G282" s="119" t="s">
        <v>889</v>
      </c>
      <c r="H282" s="120">
        <f>SUM(H281)</f>
        <v>0</v>
      </c>
      <c r="I282" s="127">
        <f t="shared" si="54"/>
        <v>0</v>
      </c>
      <c r="K282" s="140"/>
      <c r="L282" s="120">
        <f>SUM(L281)</f>
        <v>0</v>
      </c>
    </row>
    <row r="283" spans="3:12" ht="17.5" x14ac:dyDescent="0.35">
      <c r="C283" s="116" t="s">
        <v>890</v>
      </c>
      <c r="D283" s="117"/>
      <c r="E283" s="117"/>
      <c r="F283" s="138"/>
      <c r="G283" s="117"/>
      <c r="H283" s="128"/>
      <c r="I283" s="129"/>
      <c r="K283" s="141"/>
      <c r="L283" s="149"/>
    </row>
    <row r="284" spans="3:12" ht="13.5" x14ac:dyDescent="0.25">
      <c r="C284" s="97" t="s">
        <v>403</v>
      </c>
      <c r="D284" s="98" t="s">
        <v>404</v>
      </c>
      <c r="E284" s="98">
        <v>100</v>
      </c>
      <c r="F284" s="135" t="s">
        <v>25</v>
      </c>
      <c r="G284" s="100">
        <v>0</v>
      </c>
      <c r="H284" s="101">
        <f t="shared" ref="H284:H285" si="55">E284*G284</f>
        <v>0</v>
      </c>
      <c r="I284" s="102">
        <f t="shared" ref="I284:I287" si="56">IF($I$4=0, 0, H284/$I$4)</f>
        <v>0</v>
      </c>
      <c r="K284" s="97"/>
      <c r="L284" s="148">
        <f>Table1354[[#This Row],[Total]]</f>
        <v>0</v>
      </c>
    </row>
    <row r="285" spans="3:12" ht="13.5" x14ac:dyDescent="0.25">
      <c r="C285" s="97" t="s">
        <v>403</v>
      </c>
      <c r="D285" s="98" t="s">
        <v>405</v>
      </c>
      <c r="E285" s="98">
        <v>1E-3</v>
      </c>
      <c r="F285" s="135" t="s">
        <v>72</v>
      </c>
      <c r="G285" s="100">
        <v>0</v>
      </c>
      <c r="H285" s="101">
        <f t="shared" si="55"/>
        <v>0</v>
      </c>
      <c r="I285" s="102">
        <f t="shared" si="56"/>
        <v>0</v>
      </c>
      <c r="K285" s="97"/>
      <c r="L285" s="148">
        <f>Table1354[[#This Row],[Total]]</f>
        <v>0</v>
      </c>
    </row>
    <row r="286" spans="3:12" ht="16" x14ac:dyDescent="0.35">
      <c r="C286" s="121"/>
      <c r="D286" s="122"/>
      <c r="E286" s="122"/>
      <c r="F286" s="136"/>
      <c r="G286" s="126" t="s">
        <v>891</v>
      </c>
      <c r="H286" s="123">
        <f>SUM(H284:H285)</f>
        <v>0</v>
      </c>
      <c r="I286" s="124">
        <f t="shared" si="56"/>
        <v>0</v>
      </c>
      <c r="K286" s="125"/>
      <c r="L286" s="123">
        <f>SUM(L284:L285)</f>
        <v>0</v>
      </c>
    </row>
    <row r="287" spans="3:12" ht="18" thickBot="1" x14ac:dyDescent="0.4">
      <c r="C287" s="118"/>
      <c r="D287" s="119"/>
      <c r="E287" s="119"/>
      <c r="F287" s="137"/>
      <c r="G287" s="119" t="s">
        <v>892</v>
      </c>
      <c r="H287" s="120">
        <f>SUM(H286)</f>
        <v>0</v>
      </c>
      <c r="I287" s="127">
        <f t="shared" si="56"/>
        <v>0</v>
      </c>
      <c r="K287" s="140"/>
      <c r="L287" s="120">
        <f>SUM(L286)</f>
        <v>0</v>
      </c>
    </row>
    <row r="288" spans="3:12" ht="17.5" x14ac:dyDescent="0.35">
      <c r="C288" s="116" t="s">
        <v>893</v>
      </c>
      <c r="D288" s="117"/>
      <c r="E288" s="117"/>
      <c r="F288" s="138"/>
      <c r="G288" s="117"/>
      <c r="H288" s="128"/>
      <c r="I288" s="129"/>
      <c r="K288" s="141"/>
      <c r="L288" s="149"/>
    </row>
    <row r="289" spans="3:12" ht="13.5" x14ac:dyDescent="0.25">
      <c r="C289" s="97" t="s">
        <v>406</v>
      </c>
      <c r="D289" s="98" t="s">
        <v>894</v>
      </c>
      <c r="E289" s="98">
        <v>100</v>
      </c>
      <c r="F289" s="135" t="s">
        <v>25</v>
      </c>
      <c r="G289" s="100">
        <v>0</v>
      </c>
      <c r="H289" s="101">
        <f t="shared" ref="H289:H290" si="57">E289*G289</f>
        <v>0</v>
      </c>
      <c r="I289" s="102">
        <f t="shared" ref="I289:I292" si="58">IF($I$4=0, 0, H289/$I$4)</f>
        <v>0</v>
      </c>
      <c r="K289" s="97"/>
      <c r="L289" s="148">
        <f>Table1354[[#This Row],[Total]]</f>
        <v>0</v>
      </c>
    </row>
    <row r="290" spans="3:12" ht="13.5" x14ac:dyDescent="0.25">
      <c r="C290" s="97" t="s">
        <v>406</v>
      </c>
      <c r="D290" s="98" t="s">
        <v>895</v>
      </c>
      <c r="E290" s="98">
        <v>0</v>
      </c>
      <c r="F290" s="135" t="s">
        <v>72</v>
      </c>
      <c r="G290" s="100">
        <v>0</v>
      </c>
      <c r="H290" s="101">
        <f t="shared" si="57"/>
        <v>0</v>
      </c>
      <c r="I290" s="102">
        <f t="shared" si="58"/>
        <v>0</v>
      </c>
      <c r="K290" s="97"/>
      <c r="L290" s="148">
        <f>Table1354[[#This Row],[Total]]</f>
        <v>0</v>
      </c>
    </row>
    <row r="291" spans="3:12" ht="16" x14ac:dyDescent="0.35">
      <c r="C291" s="121"/>
      <c r="D291" s="122"/>
      <c r="E291" s="122"/>
      <c r="F291" s="136"/>
      <c r="G291" s="126" t="s">
        <v>896</v>
      </c>
      <c r="H291" s="123">
        <f>SUM(H289:H290)</f>
        <v>0</v>
      </c>
      <c r="I291" s="124">
        <f t="shared" si="58"/>
        <v>0</v>
      </c>
      <c r="K291" s="125"/>
      <c r="L291" s="123">
        <f>SUM(L289:L290)</f>
        <v>0</v>
      </c>
    </row>
    <row r="292" spans="3:12" ht="18" thickBot="1" x14ac:dyDescent="0.4">
      <c r="C292" s="118"/>
      <c r="D292" s="119"/>
      <c r="E292" s="119"/>
      <c r="F292" s="137"/>
      <c r="G292" s="119" t="s">
        <v>897</v>
      </c>
      <c r="H292" s="120">
        <f>SUM(H291)</f>
        <v>0</v>
      </c>
      <c r="I292" s="127">
        <f t="shared" si="58"/>
        <v>0</v>
      </c>
      <c r="K292" s="140"/>
      <c r="L292" s="120">
        <f>SUM(L291)</f>
        <v>0</v>
      </c>
    </row>
    <row r="293" spans="3:12" ht="17.5" x14ac:dyDescent="0.35">
      <c r="C293" s="116" t="s">
        <v>898</v>
      </c>
      <c r="D293" s="117"/>
      <c r="E293" s="117"/>
      <c r="F293" s="138"/>
      <c r="G293" s="117"/>
      <c r="H293" s="128"/>
      <c r="I293" s="129"/>
      <c r="K293" s="141"/>
      <c r="L293" s="149"/>
    </row>
    <row r="294" spans="3:12" ht="13.5" x14ac:dyDescent="0.25">
      <c r="C294" s="105" t="s">
        <v>407</v>
      </c>
      <c r="D294" s="106" t="s">
        <v>408</v>
      </c>
      <c r="E294" s="106">
        <v>100</v>
      </c>
      <c r="F294" s="139" t="s">
        <v>25</v>
      </c>
      <c r="G294" s="100">
        <v>0</v>
      </c>
      <c r="H294" s="101">
        <f t="shared" ref="H294:H295" si="59">E294*G294</f>
        <v>0</v>
      </c>
      <c r="I294" s="102">
        <f t="shared" ref="I294:I297" si="60">IF($I$4=0, 0, H294/$I$4)</f>
        <v>0</v>
      </c>
      <c r="K294" s="97"/>
      <c r="L294" s="148">
        <f>Table1354[[#This Row],[Total]]</f>
        <v>0</v>
      </c>
    </row>
    <row r="295" spans="3:12" ht="13.5" x14ac:dyDescent="0.25">
      <c r="C295" s="105" t="s">
        <v>407</v>
      </c>
      <c r="D295" s="106" t="s">
        <v>899</v>
      </c>
      <c r="E295" s="106">
        <v>0</v>
      </c>
      <c r="F295" s="139" t="s">
        <v>27</v>
      </c>
      <c r="G295" s="100">
        <v>0</v>
      </c>
      <c r="H295" s="101">
        <f t="shared" si="59"/>
        <v>0</v>
      </c>
      <c r="I295" s="102">
        <f t="shared" si="60"/>
        <v>0</v>
      </c>
      <c r="K295" s="97"/>
      <c r="L295" s="148">
        <f>Table1354[[#This Row],[Total]]</f>
        <v>0</v>
      </c>
    </row>
    <row r="296" spans="3:12" ht="16" x14ac:dyDescent="0.35">
      <c r="C296" s="121"/>
      <c r="D296" s="122"/>
      <c r="E296" s="122"/>
      <c r="F296" s="136"/>
      <c r="G296" s="126" t="s">
        <v>900</v>
      </c>
      <c r="H296" s="123">
        <f>SUM(H294:H295)</f>
        <v>0</v>
      </c>
      <c r="I296" s="124">
        <f t="shared" si="60"/>
        <v>0</v>
      </c>
      <c r="K296" s="125"/>
      <c r="L296" s="123">
        <f>SUM(L294:L295)</f>
        <v>0</v>
      </c>
    </row>
    <row r="297" spans="3:12" ht="18" thickBot="1" x14ac:dyDescent="0.4">
      <c r="C297" s="118"/>
      <c r="D297" s="119"/>
      <c r="E297" s="119"/>
      <c r="F297" s="137"/>
      <c r="G297" s="119" t="s">
        <v>901</v>
      </c>
      <c r="H297" s="120">
        <f>SUM(H296)</f>
        <v>0</v>
      </c>
      <c r="I297" s="127">
        <f t="shared" si="60"/>
        <v>0</v>
      </c>
      <c r="K297" s="140"/>
      <c r="L297" s="120">
        <f>SUM(L296)</f>
        <v>0</v>
      </c>
    </row>
    <row r="298" spans="3:12" ht="17.5" x14ac:dyDescent="0.35">
      <c r="C298" s="116" t="s">
        <v>902</v>
      </c>
      <c r="D298" s="117"/>
      <c r="E298" s="117"/>
      <c r="F298" s="138"/>
      <c r="G298" s="117"/>
      <c r="H298" s="128"/>
      <c r="I298" s="129"/>
      <c r="K298" s="141"/>
      <c r="L298" s="149"/>
    </row>
    <row r="299" spans="3:12" ht="13.5" x14ac:dyDescent="0.25">
      <c r="C299" s="97" t="s">
        <v>409</v>
      </c>
      <c r="D299" s="98" t="s">
        <v>410</v>
      </c>
      <c r="E299" s="98">
        <v>1</v>
      </c>
      <c r="F299" s="135" t="s">
        <v>72</v>
      </c>
      <c r="G299" s="100">
        <v>0</v>
      </c>
      <c r="H299" s="101">
        <f t="shared" ref="H299:H300" si="61">E299*G299</f>
        <v>0</v>
      </c>
      <c r="I299" s="102">
        <f t="shared" ref="I299:I302" si="62">IF($I$4=0, 0, H299/$I$4)</f>
        <v>0</v>
      </c>
      <c r="K299" s="97"/>
      <c r="L299" s="148">
        <f>Table1354[[#This Row],[Total]]</f>
        <v>0</v>
      </c>
    </row>
    <row r="300" spans="3:12" ht="13.5" x14ac:dyDescent="0.25">
      <c r="C300" s="97" t="s">
        <v>411</v>
      </c>
      <c r="D300" s="98" t="s">
        <v>412</v>
      </c>
      <c r="E300" s="98">
        <v>1</v>
      </c>
      <c r="F300" s="135" t="s">
        <v>72</v>
      </c>
      <c r="G300" s="100">
        <v>0</v>
      </c>
      <c r="H300" s="101">
        <f t="shared" si="61"/>
        <v>0</v>
      </c>
      <c r="I300" s="102">
        <f t="shared" si="62"/>
        <v>0</v>
      </c>
      <c r="K300" s="97"/>
      <c r="L300" s="148">
        <f>Table1354[[#This Row],[Total]]</f>
        <v>0</v>
      </c>
    </row>
    <row r="301" spans="3:12" ht="16" x14ac:dyDescent="0.35">
      <c r="C301" s="121"/>
      <c r="D301" s="122"/>
      <c r="E301" s="122"/>
      <c r="F301" s="136"/>
      <c r="G301" s="126" t="s">
        <v>903</v>
      </c>
      <c r="H301" s="123">
        <f>SUM(H299:H300)</f>
        <v>0</v>
      </c>
      <c r="I301" s="124">
        <f t="shared" si="62"/>
        <v>0</v>
      </c>
      <c r="K301" s="125"/>
      <c r="L301" s="123">
        <f>SUM(L299:L300)</f>
        <v>0</v>
      </c>
    </row>
    <row r="302" spans="3:12" ht="18" thickBot="1" x14ac:dyDescent="0.4">
      <c r="C302" s="118"/>
      <c r="D302" s="119"/>
      <c r="E302" s="119"/>
      <c r="F302" s="137"/>
      <c r="G302" s="119" t="s">
        <v>904</v>
      </c>
      <c r="H302" s="120">
        <f>SUM(H301)</f>
        <v>0</v>
      </c>
      <c r="I302" s="127">
        <f t="shared" si="62"/>
        <v>0</v>
      </c>
      <c r="K302" s="140"/>
      <c r="L302" s="120">
        <f>SUM(L301)</f>
        <v>0</v>
      </c>
    </row>
    <row r="303" spans="3:12" ht="17.5" x14ac:dyDescent="0.35">
      <c r="C303" s="116" t="s">
        <v>905</v>
      </c>
      <c r="D303" s="117"/>
      <c r="E303" s="117"/>
      <c r="F303" s="138"/>
      <c r="G303" s="117"/>
      <c r="H303" s="128"/>
      <c r="I303" s="129"/>
      <c r="K303" s="141"/>
      <c r="L303" s="149"/>
    </row>
    <row r="304" spans="3:12" ht="13.5" x14ac:dyDescent="0.25">
      <c r="C304" s="97" t="s">
        <v>413</v>
      </c>
      <c r="D304" s="98" t="s">
        <v>414</v>
      </c>
      <c r="E304" s="98">
        <v>1</v>
      </c>
      <c r="F304" s="135" t="s">
        <v>72</v>
      </c>
      <c r="G304" s="100">
        <v>0</v>
      </c>
      <c r="H304" s="101">
        <f t="shared" ref="H304:H307" si="63">E304*G304</f>
        <v>0</v>
      </c>
      <c r="I304" s="102">
        <f t="shared" ref="I304:I309" si="64">IF($I$4=0, 0, H304/$I$4)</f>
        <v>0</v>
      </c>
      <c r="K304" s="97"/>
      <c r="L304" s="148">
        <f>Table1354[[#This Row],[Total]]</f>
        <v>0</v>
      </c>
    </row>
    <row r="305" spans="3:12" ht="13.5" x14ac:dyDescent="0.25">
      <c r="C305" s="97" t="s">
        <v>415</v>
      </c>
      <c r="D305" s="98" t="s">
        <v>416</v>
      </c>
      <c r="E305" s="98">
        <v>1</v>
      </c>
      <c r="F305" s="135" t="s">
        <v>72</v>
      </c>
      <c r="G305" s="100">
        <v>0</v>
      </c>
      <c r="H305" s="101">
        <f t="shared" si="63"/>
        <v>0</v>
      </c>
      <c r="I305" s="102">
        <f t="shared" si="64"/>
        <v>0</v>
      </c>
      <c r="K305" s="97"/>
      <c r="L305" s="148">
        <f>Table1354[[#This Row],[Total]]</f>
        <v>0</v>
      </c>
    </row>
    <row r="306" spans="3:12" ht="13.5" x14ac:dyDescent="0.25">
      <c r="C306" s="97" t="s">
        <v>417</v>
      </c>
      <c r="D306" s="98" t="s">
        <v>418</v>
      </c>
      <c r="E306" s="98">
        <v>1</v>
      </c>
      <c r="F306" s="135" t="s">
        <v>72</v>
      </c>
      <c r="G306" s="100">
        <v>0</v>
      </c>
      <c r="H306" s="101">
        <f t="shared" si="63"/>
        <v>0</v>
      </c>
      <c r="I306" s="102">
        <f t="shared" si="64"/>
        <v>0</v>
      </c>
      <c r="K306" s="97"/>
      <c r="L306" s="148">
        <f>Table1354[[#This Row],[Total]]</f>
        <v>0</v>
      </c>
    </row>
    <row r="307" spans="3:12" ht="13.5" x14ac:dyDescent="0.25">
      <c r="C307" s="97" t="s">
        <v>419</v>
      </c>
      <c r="D307" s="98" t="s">
        <v>420</v>
      </c>
      <c r="E307" s="98">
        <v>0</v>
      </c>
      <c r="F307" s="135" t="s">
        <v>27</v>
      </c>
      <c r="G307" s="100">
        <v>0</v>
      </c>
      <c r="H307" s="101">
        <f t="shared" si="63"/>
        <v>0</v>
      </c>
      <c r="I307" s="102">
        <f t="shared" si="64"/>
        <v>0</v>
      </c>
      <c r="K307" s="97"/>
      <c r="L307" s="148">
        <f>Table1354[[#This Row],[Total]]</f>
        <v>0</v>
      </c>
    </row>
    <row r="308" spans="3:12" ht="16" x14ac:dyDescent="0.35">
      <c r="C308" s="121"/>
      <c r="D308" s="122"/>
      <c r="E308" s="122"/>
      <c r="F308" s="136"/>
      <c r="G308" s="126" t="s">
        <v>906</v>
      </c>
      <c r="H308" s="123">
        <f>SUM(H304:H307)</f>
        <v>0</v>
      </c>
      <c r="I308" s="124">
        <f t="shared" si="64"/>
        <v>0</v>
      </c>
      <c r="K308" s="125"/>
      <c r="L308" s="123">
        <f>SUM(L304:L307)</f>
        <v>0</v>
      </c>
    </row>
    <row r="309" spans="3:12" ht="18" thickBot="1" x14ac:dyDescent="0.4">
      <c r="C309" s="118"/>
      <c r="D309" s="119"/>
      <c r="E309" s="119"/>
      <c r="F309" s="137"/>
      <c r="G309" s="119" t="s">
        <v>907</v>
      </c>
      <c r="H309" s="120">
        <f>SUM(H308)</f>
        <v>0</v>
      </c>
      <c r="I309" s="127">
        <f t="shared" si="64"/>
        <v>0</v>
      </c>
      <c r="K309" s="140"/>
      <c r="L309" s="120">
        <f>SUM(L308)</f>
        <v>0</v>
      </c>
    </row>
    <row r="310" spans="3:12" ht="17.5" x14ac:dyDescent="0.35">
      <c r="C310" s="116" t="s">
        <v>908</v>
      </c>
      <c r="D310" s="117"/>
      <c r="E310" s="117"/>
      <c r="F310" s="138"/>
      <c r="G310" s="117"/>
      <c r="H310" s="128"/>
      <c r="I310" s="129"/>
      <c r="K310" s="141"/>
      <c r="L310" s="149"/>
    </row>
    <row r="311" spans="3:12" ht="13.5" x14ac:dyDescent="0.25">
      <c r="C311" s="97" t="s">
        <v>421</v>
      </c>
      <c r="D311" s="98" t="s">
        <v>422</v>
      </c>
      <c r="E311" s="98">
        <v>1</v>
      </c>
      <c r="F311" s="135" t="s">
        <v>72</v>
      </c>
      <c r="G311" s="100">
        <v>0</v>
      </c>
      <c r="H311" s="101">
        <f t="shared" ref="H311:H314" si="65">E311*G311</f>
        <v>0</v>
      </c>
      <c r="I311" s="102">
        <f t="shared" ref="I311:I316" si="66">IF($I$4=0, 0, H311/$I$4)</f>
        <v>0</v>
      </c>
      <c r="K311" s="97"/>
      <c r="L311" s="148">
        <f>Table1354[[#This Row],[Total]]</f>
        <v>0</v>
      </c>
    </row>
    <row r="312" spans="3:12" ht="13.5" x14ac:dyDescent="0.25">
      <c r="C312" s="97" t="s">
        <v>423</v>
      </c>
      <c r="D312" s="98" t="s">
        <v>424</v>
      </c>
      <c r="E312" s="98">
        <v>0</v>
      </c>
      <c r="F312" s="135" t="s">
        <v>72</v>
      </c>
      <c r="G312" s="100">
        <v>0</v>
      </c>
      <c r="H312" s="101">
        <f t="shared" si="65"/>
        <v>0</v>
      </c>
      <c r="I312" s="102">
        <f t="shared" si="66"/>
        <v>0</v>
      </c>
      <c r="K312" s="97"/>
      <c r="L312" s="148">
        <f>Table1354[[#This Row],[Total]]</f>
        <v>0</v>
      </c>
    </row>
    <row r="313" spans="3:12" ht="13.5" x14ac:dyDescent="0.25">
      <c r="C313" s="97" t="s">
        <v>426</v>
      </c>
      <c r="D313" s="98" t="s">
        <v>427</v>
      </c>
      <c r="E313" s="98">
        <v>0</v>
      </c>
      <c r="F313" s="135" t="s">
        <v>72</v>
      </c>
      <c r="G313" s="100">
        <v>0</v>
      </c>
      <c r="H313" s="101">
        <f t="shared" si="65"/>
        <v>0</v>
      </c>
      <c r="I313" s="102">
        <f t="shared" si="66"/>
        <v>0</v>
      </c>
      <c r="K313" s="97"/>
      <c r="L313" s="148">
        <f>Table1354[[#This Row],[Total]]</f>
        <v>0</v>
      </c>
    </row>
    <row r="314" spans="3:12" ht="13.5" x14ac:dyDescent="0.25">
      <c r="C314" s="97" t="s">
        <v>428</v>
      </c>
      <c r="D314" s="98" t="s">
        <v>429</v>
      </c>
      <c r="E314" s="98">
        <v>0</v>
      </c>
      <c r="F314" s="135" t="s">
        <v>72</v>
      </c>
      <c r="G314" s="100">
        <v>0</v>
      </c>
      <c r="H314" s="101">
        <f t="shared" si="65"/>
        <v>0</v>
      </c>
      <c r="I314" s="102">
        <f t="shared" si="66"/>
        <v>0</v>
      </c>
      <c r="K314" s="97"/>
      <c r="L314" s="148">
        <f>Table1354[[#This Row],[Total]]</f>
        <v>0</v>
      </c>
    </row>
    <row r="315" spans="3:12" ht="16" x14ac:dyDescent="0.35">
      <c r="C315" s="121"/>
      <c r="D315" s="122"/>
      <c r="E315" s="122"/>
      <c r="F315" s="136"/>
      <c r="G315" s="126" t="s">
        <v>909</v>
      </c>
      <c r="H315" s="123">
        <f>SUM(H311:H314)</f>
        <v>0</v>
      </c>
      <c r="I315" s="124">
        <f t="shared" si="66"/>
        <v>0</v>
      </c>
      <c r="K315" s="144"/>
      <c r="L315" s="123">
        <f>SUM(L311:L314)</f>
        <v>0</v>
      </c>
    </row>
    <row r="316" spans="3:12" ht="18" thickBot="1" x14ac:dyDescent="0.4">
      <c r="C316" s="118"/>
      <c r="D316" s="119"/>
      <c r="E316" s="119"/>
      <c r="F316" s="137"/>
      <c r="G316" s="119" t="s">
        <v>910</v>
      </c>
      <c r="H316" s="120">
        <f>SUM(H315)</f>
        <v>0</v>
      </c>
      <c r="I316" s="127">
        <f t="shared" si="66"/>
        <v>0</v>
      </c>
      <c r="K316" s="140"/>
      <c r="L316" s="120">
        <f>SUM(L315)</f>
        <v>0</v>
      </c>
    </row>
    <row r="317" spans="3:12" ht="17.5" x14ac:dyDescent="0.35">
      <c r="C317" s="116" t="s">
        <v>911</v>
      </c>
      <c r="D317" s="117"/>
      <c r="E317" s="117"/>
      <c r="F317" s="138"/>
      <c r="G317" s="117"/>
      <c r="H317" s="128"/>
      <c r="I317" s="129"/>
      <c r="K317" s="141"/>
      <c r="L317" s="149"/>
    </row>
    <row r="318" spans="3:12" ht="13.5" x14ac:dyDescent="0.25">
      <c r="C318" s="97" t="s">
        <v>430</v>
      </c>
      <c r="D318" s="98" t="s">
        <v>431</v>
      </c>
      <c r="E318" s="103">
        <v>1</v>
      </c>
      <c r="F318" s="135" t="s">
        <v>72</v>
      </c>
      <c r="G318" s="100">
        <v>0</v>
      </c>
      <c r="H318" s="101">
        <f t="shared" ref="H318:H334" si="67">E318*G318</f>
        <v>0</v>
      </c>
      <c r="I318" s="102">
        <f t="shared" ref="I318:I336" si="68">IF($I$4=0, 0, H318/$I$4)</f>
        <v>0</v>
      </c>
      <c r="K318" s="97"/>
      <c r="L318" s="148">
        <f>Table1354[[#This Row],[Total]]</f>
        <v>0</v>
      </c>
    </row>
    <row r="319" spans="3:12" ht="13.5" x14ac:dyDescent="0.25">
      <c r="C319" s="97" t="s">
        <v>430</v>
      </c>
      <c r="D319" s="98" t="s">
        <v>912</v>
      </c>
      <c r="E319" s="103">
        <v>4635.4544444444437</v>
      </c>
      <c r="F319" s="135" t="s">
        <v>309</v>
      </c>
      <c r="G319" s="100">
        <v>0</v>
      </c>
      <c r="H319" s="101">
        <f t="shared" si="67"/>
        <v>0</v>
      </c>
      <c r="I319" s="102">
        <f t="shared" si="68"/>
        <v>0</v>
      </c>
      <c r="K319" s="97"/>
      <c r="L319" s="148">
        <f>Table1354[[#This Row],[Total]]</f>
        <v>0</v>
      </c>
    </row>
    <row r="320" spans="3:12" ht="13.5" x14ac:dyDescent="0.25">
      <c r="C320" s="97" t="s">
        <v>430</v>
      </c>
      <c r="D320" s="98" t="s">
        <v>432</v>
      </c>
      <c r="E320" s="103">
        <v>2414.3944444444442</v>
      </c>
      <c r="F320" s="135" t="s">
        <v>309</v>
      </c>
      <c r="G320" s="100">
        <v>0</v>
      </c>
      <c r="H320" s="101">
        <f t="shared" si="67"/>
        <v>0</v>
      </c>
      <c r="I320" s="102">
        <f t="shared" si="68"/>
        <v>0</v>
      </c>
      <c r="K320" s="97"/>
      <c r="L320" s="148">
        <f>Table1354[[#This Row],[Total]]</f>
        <v>0</v>
      </c>
    </row>
    <row r="321" spans="3:12" ht="13.5" x14ac:dyDescent="0.25">
      <c r="C321" s="97" t="s">
        <v>433</v>
      </c>
      <c r="D321" s="98" t="s">
        <v>434</v>
      </c>
      <c r="E321" s="103">
        <v>0</v>
      </c>
      <c r="F321" s="135" t="s">
        <v>72</v>
      </c>
      <c r="G321" s="100">
        <v>0</v>
      </c>
      <c r="H321" s="101">
        <f t="shared" si="67"/>
        <v>0</v>
      </c>
      <c r="I321" s="102">
        <f t="shared" si="68"/>
        <v>0</v>
      </c>
      <c r="K321" s="97"/>
      <c r="L321" s="148">
        <f>Table1354[[#This Row],[Total]]</f>
        <v>0</v>
      </c>
    </row>
    <row r="322" spans="3:12" ht="13.5" x14ac:dyDescent="0.25">
      <c r="C322" s="97" t="s">
        <v>435</v>
      </c>
      <c r="D322" s="98" t="s">
        <v>436</v>
      </c>
      <c r="E322" s="103">
        <v>0</v>
      </c>
      <c r="F322" s="135" t="s">
        <v>72</v>
      </c>
      <c r="G322" s="100">
        <v>0</v>
      </c>
      <c r="H322" s="101">
        <f t="shared" si="67"/>
        <v>0</v>
      </c>
      <c r="I322" s="102">
        <f t="shared" si="68"/>
        <v>0</v>
      </c>
      <c r="K322" s="97"/>
      <c r="L322" s="148">
        <f>Table1354[[#This Row],[Total]]</f>
        <v>0</v>
      </c>
    </row>
    <row r="323" spans="3:12" ht="13.5" x14ac:dyDescent="0.25">
      <c r="C323" s="97" t="s">
        <v>437</v>
      </c>
      <c r="D323" s="98" t="s">
        <v>438</v>
      </c>
      <c r="E323" s="103">
        <v>0</v>
      </c>
      <c r="F323" s="135" t="s">
        <v>72</v>
      </c>
      <c r="G323" s="100">
        <v>0</v>
      </c>
      <c r="H323" s="101">
        <f t="shared" si="67"/>
        <v>0</v>
      </c>
      <c r="I323" s="102">
        <f t="shared" si="68"/>
        <v>0</v>
      </c>
      <c r="K323" s="97"/>
      <c r="L323" s="148">
        <f>Table1354[[#This Row],[Total]]</f>
        <v>0</v>
      </c>
    </row>
    <row r="324" spans="3:12" ht="13.5" x14ac:dyDescent="0.25">
      <c r="C324" s="97" t="s">
        <v>439</v>
      </c>
      <c r="D324" s="98" t="s">
        <v>440</v>
      </c>
      <c r="E324" s="103">
        <v>0</v>
      </c>
      <c r="F324" s="135" t="s">
        <v>72</v>
      </c>
      <c r="G324" s="100">
        <v>0</v>
      </c>
      <c r="H324" s="101">
        <f t="shared" si="67"/>
        <v>0</v>
      </c>
      <c r="I324" s="102">
        <f t="shared" si="68"/>
        <v>0</v>
      </c>
      <c r="K324" s="97"/>
      <c r="L324" s="148">
        <f>Table1354[[#This Row],[Total]]</f>
        <v>0</v>
      </c>
    </row>
    <row r="325" spans="3:12" ht="13.5" x14ac:dyDescent="0.25">
      <c r="C325" s="97" t="s">
        <v>441</v>
      </c>
      <c r="D325" s="98" t="s">
        <v>442</v>
      </c>
      <c r="E325" s="103">
        <v>1</v>
      </c>
      <c r="F325" s="135" t="s">
        <v>72</v>
      </c>
      <c r="G325" s="100">
        <v>0</v>
      </c>
      <c r="H325" s="101">
        <f t="shared" si="67"/>
        <v>0</v>
      </c>
      <c r="I325" s="102">
        <f t="shared" si="68"/>
        <v>0</v>
      </c>
      <c r="K325" s="97"/>
      <c r="L325" s="148">
        <f>Table1354[[#This Row],[Total]]</f>
        <v>0</v>
      </c>
    </row>
    <row r="326" spans="3:12" ht="13.5" x14ac:dyDescent="0.25">
      <c r="C326" s="97" t="s">
        <v>433</v>
      </c>
      <c r="D326" s="98" t="s">
        <v>443</v>
      </c>
      <c r="E326" s="103">
        <v>1230.26</v>
      </c>
      <c r="F326" s="135" t="s">
        <v>23</v>
      </c>
      <c r="G326" s="100">
        <v>0</v>
      </c>
      <c r="H326" s="101">
        <f t="shared" si="67"/>
        <v>0</v>
      </c>
      <c r="I326" s="102">
        <f t="shared" si="68"/>
        <v>0</v>
      </c>
      <c r="K326" s="97"/>
      <c r="L326" s="148">
        <f>Table1354[[#This Row],[Total]]</f>
        <v>0</v>
      </c>
    </row>
    <row r="327" spans="3:12" ht="13.5" x14ac:dyDescent="0.25">
      <c r="C327" s="97" t="s">
        <v>433</v>
      </c>
      <c r="D327" s="98" t="s">
        <v>444</v>
      </c>
      <c r="E327" s="103">
        <v>1456.67</v>
      </c>
      <c r="F327" s="135" t="s">
        <v>23</v>
      </c>
      <c r="G327" s="100">
        <v>0</v>
      </c>
      <c r="H327" s="101">
        <f t="shared" si="67"/>
        <v>0</v>
      </c>
      <c r="I327" s="102">
        <f t="shared" si="68"/>
        <v>0</v>
      </c>
      <c r="K327" s="97"/>
      <c r="L327" s="148">
        <f>Table1354[[#This Row],[Total]]</f>
        <v>0</v>
      </c>
    </row>
    <row r="328" spans="3:12" ht="13.5" x14ac:dyDescent="0.25">
      <c r="C328" s="97" t="s">
        <v>433</v>
      </c>
      <c r="D328" s="98" t="s">
        <v>445</v>
      </c>
      <c r="E328" s="103">
        <v>267</v>
      </c>
      <c r="F328" s="135" t="s">
        <v>23</v>
      </c>
      <c r="G328" s="100">
        <v>0</v>
      </c>
      <c r="H328" s="101">
        <f t="shared" si="67"/>
        <v>0</v>
      </c>
      <c r="I328" s="102">
        <f t="shared" si="68"/>
        <v>0</v>
      </c>
      <c r="K328" s="97"/>
      <c r="L328" s="148">
        <f>Table1354[[#This Row],[Total]]</f>
        <v>0</v>
      </c>
    </row>
    <row r="329" spans="3:12" ht="13.5" x14ac:dyDescent="0.25">
      <c r="C329" s="97" t="s">
        <v>433</v>
      </c>
      <c r="D329" s="98" t="s">
        <v>446</v>
      </c>
      <c r="E329" s="103">
        <v>5140.3</v>
      </c>
      <c r="F329" s="135" t="s">
        <v>27</v>
      </c>
      <c r="G329" s="100">
        <v>0</v>
      </c>
      <c r="H329" s="101">
        <f t="shared" si="67"/>
        <v>0</v>
      </c>
      <c r="I329" s="102">
        <f t="shared" si="68"/>
        <v>0</v>
      </c>
      <c r="K329" s="97"/>
      <c r="L329" s="148">
        <f>Table1354[[#This Row],[Total]]</f>
        <v>0</v>
      </c>
    </row>
    <row r="330" spans="3:12" ht="13.5" x14ac:dyDescent="0.25">
      <c r="C330" s="97" t="s">
        <v>433</v>
      </c>
      <c r="D330" s="98" t="s">
        <v>447</v>
      </c>
      <c r="E330" s="103">
        <v>1188.9100000000001</v>
      </c>
      <c r="F330" s="135" t="s">
        <v>27</v>
      </c>
      <c r="G330" s="100">
        <v>0</v>
      </c>
      <c r="H330" s="101">
        <f t="shared" si="67"/>
        <v>0</v>
      </c>
      <c r="I330" s="102">
        <f t="shared" si="68"/>
        <v>0</v>
      </c>
      <c r="K330" s="97"/>
      <c r="L330" s="148">
        <f>Table1354[[#This Row],[Total]]</f>
        <v>0</v>
      </c>
    </row>
    <row r="331" spans="3:12" ht="13.5" x14ac:dyDescent="0.25">
      <c r="C331" s="97" t="s">
        <v>449</v>
      </c>
      <c r="D331" s="98" t="s">
        <v>450</v>
      </c>
      <c r="E331" s="103">
        <v>1</v>
      </c>
      <c r="F331" s="135" t="s">
        <v>72</v>
      </c>
      <c r="G331" s="100">
        <v>0</v>
      </c>
      <c r="H331" s="101">
        <f t="shared" si="67"/>
        <v>0</v>
      </c>
      <c r="I331" s="102">
        <f t="shared" si="68"/>
        <v>0</v>
      </c>
      <c r="K331" s="97"/>
      <c r="L331" s="148">
        <f>Table1354[[#This Row],[Total]]</f>
        <v>0</v>
      </c>
    </row>
    <row r="332" spans="3:12" ht="13.5" x14ac:dyDescent="0.25">
      <c r="C332" s="97" t="s">
        <v>451</v>
      </c>
      <c r="D332" s="98" t="s">
        <v>913</v>
      </c>
      <c r="E332" s="103">
        <v>1</v>
      </c>
      <c r="F332" s="135" t="s">
        <v>72</v>
      </c>
      <c r="G332" s="100">
        <v>0</v>
      </c>
      <c r="H332" s="101">
        <f t="shared" si="67"/>
        <v>0</v>
      </c>
      <c r="I332" s="102">
        <f t="shared" si="68"/>
        <v>0</v>
      </c>
      <c r="K332" s="97"/>
      <c r="L332" s="148">
        <f>Table1354[[#This Row],[Total]]</f>
        <v>0</v>
      </c>
    </row>
    <row r="333" spans="3:12" ht="13.5" x14ac:dyDescent="0.25">
      <c r="C333" s="97" t="s">
        <v>453</v>
      </c>
      <c r="D333" s="98" t="s">
        <v>454</v>
      </c>
      <c r="E333" s="103">
        <v>0</v>
      </c>
      <c r="F333" s="135" t="s">
        <v>72</v>
      </c>
      <c r="G333" s="100">
        <v>0</v>
      </c>
      <c r="H333" s="101">
        <f t="shared" si="67"/>
        <v>0</v>
      </c>
      <c r="I333" s="102">
        <f t="shared" si="68"/>
        <v>0</v>
      </c>
      <c r="K333" s="97"/>
      <c r="L333" s="148">
        <f>Table1354[[#This Row],[Total]]</f>
        <v>0</v>
      </c>
    </row>
    <row r="334" spans="3:12" ht="13.5" x14ac:dyDescent="0.25">
      <c r="C334" s="97" t="s">
        <v>455</v>
      </c>
      <c r="D334" s="98" t="s">
        <v>456</v>
      </c>
      <c r="E334" s="103">
        <v>1</v>
      </c>
      <c r="F334" s="135" t="s">
        <v>72</v>
      </c>
      <c r="G334" s="100">
        <v>0</v>
      </c>
      <c r="H334" s="101">
        <f t="shared" si="67"/>
        <v>0</v>
      </c>
      <c r="I334" s="102">
        <f t="shared" si="68"/>
        <v>0</v>
      </c>
      <c r="K334" s="97"/>
      <c r="L334" s="148">
        <f>Table1354[[#This Row],[Total]]</f>
        <v>0</v>
      </c>
    </row>
    <row r="335" spans="3:12" ht="16" x14ac:dyDescent="0.35">
      <c r="C335" s="121"/>
      <c r="D335" s="122"/>
      <c r="E335" s="122"/>
      <c r="F335" s="136"/>
      <c r="G335" s="126" t="s">
        <v>914</v>
      </c>
      <c r="H335" s="123">
        <f>SUM(H318:H334)</f>
        <v>0</v>
      </c>
      <c r="I335" s="124">
        <f t="shared" si="68"/>
        <v>0</v>
      </c>
      <c r="K335" s="144"/>
      <c r="L335" s="123">
        <f>SUM(L318:L334)</f>
        <v>0</v>
      </c>
    </row>
    <row r="336" spans="3:12" ht="18" thickBot="1" x14ac:dyDescent="0.4">
      <c r="C336" s="118"/>
      <c r="D336" s="119"/>
      <c r="E336" s="119"/>
      <c r="F336" s="137"/>
      <c r="G336" s="119" t="s">
        <v>915</v>
      </c>
      <c r="H336" s="120">
        <f>SUM(H335)</f>
        <v>0</v>
      </c>
      <c r="I336" s="127">
        <f t="shared" si="68"/>
        <v>0</v>
      </c>
      <c r="K336" s="140"/>
      <c r="L336" s="120">
        <f>SUM(L335)</f>
        <v>0</v>
      </c>
    </row>
    <row r="337" spans="3:12" ht="17.5" x14ac:dyDescent="0.35">
      <c r="C337" s="116" t="s">
        <v>916</v>
      </c>
      <c r="D337" s="117"/>
      <c r="E337" s="117"/>
      <c r="F337" s="138"/>
      <c r="G337" s="117"/>
      <c r="H337" s="128"/>
      <c r="I337" s="129"/>
      <c r="K337" s="141"/>
      <c r="L337" s="149"/>
    </row>
    <row r="338" spans="3:12" ht="13.5" x14ac:dyDescent="0.25">
      <c r="C338" s="97" t="s">
        <v>457</v>
      </c>
      <c r="D338" s="98" t="s">
        <v>458</v>
      </c>
      <c r="E338" s="98">
        <v>1</v>
      </c>
      <c r="F338" s="135" t="s">
        <v>72</v>
      </c>
      <c r="G338" s="100">
        <v>0</v>
      </c>
      <c r="H338" s="101">
        <f t="shared" ref="H338:H341" si="69">E338*G338</f>
        <v>0</v>
      </c>
      <c r="I338" s="102">
        <f t="shared" ref="I338:I343" si="70">IF($I$4=0, 0, H338/$I$4)</f>
        <v>0</v>
      </c>
      <c r="K338" s="97"/>
      <c r="L338" s="148">
        <f>Table1354[[#This Row],[Total]]</f>
        <v>0</v>
      </c>
    </row>
    <row r="339" spans="3:12" ht="13.5" x14ac:dyDescent="0.25">
      <c r="C339" s="97" t="s">
        <v>457</v>
      </c>
      <c r="D339" s="98" t="s">
        <v>459</v>
      </c>
      <c r="E339" s="98">
        <v>465</v>
      </c>
      <c r="F339" s="135" t="s">
        <v>23</v>
      </c>
      <c r="G339" s="100">
        <v>0</v>
      </c>
      <c r="H339" s="101">
        <f t="shared" si="69"/>
        <v>0</v>
      </c>
      <c r="I339" s="102">
        <f t="shared" si="70"/>
        <v>0</v>
      </c>
      <c r="K339" s="97"/>
      <c r="L339" s="148">
        <f>Table1354[[#This Row],[Total]]</f>
        <v>0</v>
      </c>
    </row>
    <row r="340" spans="3:12" ht="13.5" x14ac:dyDescent="0.25">
      <c r="C340" s="97" t="s">
        <v>457</v>
      </c>
      <c r="D340" s="98" t="s">
        <v>460</v>
      </c>
      <c r="E340" s="98">
        <v>60</v>
      </c>
      <c r="F340" s="135" t="s">
        <v>23</v>
      </c>
      <c r="G340" s="100">
        <v>0</v>
      </c>
      <c r="H340" s="101">
        <f t="shared" si="69"/>
        <v>0</v>
      </c>
      <c r="I340" s="102">
        <f t="shared" si="70"/>
        <v>0</v>
      </c>
      <c r="K340" s="97"/>
      <c r="L340" s="148">
        <f>Table1354[[#This Row],[Total]]</f>
        <v>0</v>
      </c>
    </row>
    <row r="341" spans="3:12" ht="13.5" x14ac:dyDescent="0.25">
      <c r="C341" s="97" t="s">
        <v>457</v>
      </c>
      <c r="D341" s="98" t="s">
        <v>917</v>
      </c>
      <c r="E341" s="98">
        <v>282</v>
      </c>
      <c r="F341" s="135" t="s">
        <v>23</v>
      </c>
      <c r="G341" s="100">
        <v>0</v>
      </c>
      <c r="H341" s="101">
        <f t="shared" si="69"/>
        <v>0</v>
      </c>
      <c r="I341" s="102">
        <f t="shared" si="70"/>
        <v>0</v>
      </c>
      <c r="K341" s="97"/>
      <c r="L341" s="148">
        <f>Table1354[[#This Row],[Total]]</f>
        <v>0</v>
      </c>
    </row>
    <row r="342" spans="3:12" ht="16" x14ac:dyDescent="0.35">
      <c r="C342" s="121"/>
      <c r="D342" s="122"/>
      <c r="E342" s="122"/>
      <c r="F342" s="136"/>
      <c r="G342" s="126" t="s">
        <v>918</v>
      </c>
      <c r="H342" s="123">
        <f>SUM(H338:H341)</f>
        <v>0</v>
      </c>
      <c r="I342" s="124">
        <f t="shared" si="70"/>
        <v>0</v>
      </c>
      <c r="K342" s="144"/>
      <c r="L342" s="123">
        <f>SUM(L338:L341)</f>
        <v>0</v>
      </c>
    </row>
    <row r="343" spans="3:12" ht="18" thickBot="1" x14ac:dyDescent="0.4">
      <c r="C343" s="118"/>
      <c r="D343" s="119"/>
      <c r="E343" s="119"/>
      <c r="F343" s="137"/>
      <c r="G343" s="119" t="s">
        <v>919</v>
      </c>
      <c r="H343" s="120">
        <f>SUM(H342)</f>
        <v>0</v>
      </c>
      <c r="I343" s="127">
        <f t="shared" si="70"/>
        <v>0</v>
      </c>
      <c r="K343" s="140"/>
      <c r="L343" s="120">
        <f>SUM(L342)</f>
        <v>0</v>
      </c>
    </row>
    <row r="344" spans="3:12" ht="17.5" x14ac:dyDescent="0.35">
      <c r="C344" s="116" t="s">
        <v>920</v>
      </c>
      <c r="D344" s="117"/>
      <c r="E344" s="117"/>
      <c r="F344" s="138"/>
      <c r="G344" s="117"/>
      <c r="H344" s="128"/>
      <c r="I344" s="129"/>
      <c r="K344" s="141"/>
      <c r="L344" s="149"/>
    </row>
    <row r="345" spans="3:12" ht="13.5" x14ac:dyDescent="0.25">
      <c r="C345" s="97" t="s">
        <v>461</v>
      </c>
      <c r="D345" s="98"/>
      <c r="E345" s="98"/>
      <c r="F345" s="135"/>
      <c r="G345" s="100">
        <v>0</v>
      </c>
      <c r="H345" s="101">
        <f t="shared" ref="H345" si="71">E345*G345</f>
        <v>0</v>
      </c>
      <c r="I345" s="102">
        <f t="shared" ref="I345:I347" si="72">IF($I$4=0, 0, H345/$I$4)</f>
        <v>0</v>
      </c>
      <c r="K345" s="97"/>
      <c r="L345" s="148">
        <f>Table1354[[#This Row],[Total]]</f>
        <v>0</v>
      </c>
    </row>
    <row r="346" spans="3:12" ht="16" x14ac:dyDescent="0.35">
      <c r="C346" s="121"/>
      <c r="D346" s="122"/>
      <c r="E346" s="122"/>
      <c r="F346" s="136"/>
      <c r="G346" s="126" t="s">
        <v>921</v>
      </c>
      <c r="H346" s="123">
        <f>SUM(H345)</f>
        <v>0</v>
      </c>
      <c r="I346" s="124">
        <f t="shared" si="72"/>
        <v>0</v>
      </c>
      <c r="K346" s="144"/>
      <c r="L346" s="123">
        <f>SUM(L345)</f>
        <v>0</v>
      </c>
    </row>
    <row r="347" spans="3:12" ht="18" thickBot="1" x14ac:dyDescent="0.4">
      <c r="C347" s="118"/>
      <c r="D347" s="119"/>
      <c r="E347" s="119"/>
      <c r="F347" s="137"/>
      <c r="G347" s="119" t="s">
        <v>922</v>
      </c>
      <c r="H347" s="120">
        <f>SUM(H346)</f>
        <v>0</v>
      </c>
      <c r="I347" s="127">
        <f t="shared" si="72"/>
        <v>0</v>
      </c>
      <c r="K347" s="140"/>
      <c r="L347" s="120">
        <f>SUM(L346)</f>
        <v>0</v>
      </c>
    </row>
    <row r="348" spans="3:12" ht="17.5" x14ac:dyDescent="0.35">
      <c r="C348" s="116" t="s">
        <v>926</v>
      </c>
      <c r="D348" s="117"/>
      <c r="E348" s="117"/>
      <c r="F348" s="138"/>
      <c r="G348" s="117"/>
      <c r="H348" s="128"/>
      <c r="I348" s="129"/>
      <c r="K348" s="141"/>
      <c r="L348" s="149"/>
    </row>
    <row r="349" spans="3:12" ht="13.5" x14ac:dyDescent="0.25">
      <c r="C349" s="97" t="s">
        <v>468</v>
      </c>
      <c r="D349" s="98" t="s">
        <v>13</v>
      </c>
      <c r="E349" s="98"/>
      <c r="F349" s="135"/>
      <c r="G349" s="100">
        <v>0</v>
      </c>
      <c r="H349" s="101">
        <f t="shared" ref="H349:H355" si="73">E349*G349</f>
        <v>0</v>
      </c>
      <c r="I349" s="102">
        <f t="shared" ref="I349:I357" si="74">IF($I$4=0, 0, H349/$I$4)</f>
        <v>0</v>
      </c>
      <c r="K349" s="97"/>
      <c r="L349" s="148">
        <f>Table1354[[#This Row],[Total]]</f>
        <v>0</v>
      </c>
    </row>
    <row r="350" spans="3:12" ht="13.5" x14ac:dyDescent="0.25">
      <c r="C350" s="97" t="s">
        <v>469</v>
      </c>
      <c r="D350" s="98" t="s">
        <v>14</v>
      </c>
      <c r="E350" s="98"/>
      <c r="F350" s="135"/>
      <c r="G350" s="100">
        <v>0</v>
      </c>
      <c r="H350" s="101">
        <f t="shared" si="73"/>
        <v>0</v>
      </c>
      <c r="I350" s="102">
        <f t="shared" si="74"/>
        <v>0</v>
      </c>
      <c r="K350" s="97"/>
      <c r="L350" s="148">
        <f>Table1354[[#This Row],[Total]]</f>
        <v>0</v>
      </c>
    </row>
    <row r="351" spans="3:12" ht="13.5" x14ac:dyDescent="0.25">
      <c r="C351" s="97" t="s">
        <v>470</v>
      </c>
      <c r="D351" s="98" t="s">
        <v>15</v>
      </c>
      <c r="E351" s="98"/>
      <c r="F351" s="135"/>
      <c r="G351" s="100">
        <v>0</v>
      </c>
      <c r="H351" s="101">
        <f t="shared" si="73"/>
        <v>0</v>
      </c>
      <c r="I351" s="102">
        <f t="shared" si="74"/>
        <v>0</v>
      </c>
      <c r="K351" s="97"/>
      <c r="L351" s="148">
        <f>Table1354[[#This Row],[Total]]</f>
        <v>0</v>
      </c>
    </row>
    <row r="352" spans="3:12" ht="13.5" x14ac:dyDescent="0.25">
      <c r="C352" s="97" t="s">
        <v>471</v>
      </c>
      <c r="D352" s="98" t="s">
        <v>16</v>
      </c>
      <c r="E352" s="98"/>
      <c r="F352" s="135"/>
      <c r="G352" s="100">
        <v>0</v>
      </c>
      <c r="H352" s="101">
        <f t="shared" si="73"/>
        <v>0</v>
      </c>
      <c r="I352" s="102">
        <f t="shared" si="74"/>
        <v>0</v>
      </c>
      <c r="K352" s="97"/>
      <c r="L352" s="148">
        <f>Table1354[[#This Row],[Total]]</f>
        <v>0</v>
      </c>
    </row>
    <row r="353" spans="3:12" ht="13.5" x14ac:dyDescent="0.25">
      <c r="C353" s="97" t="s">
        <v>472</v>
      </c>
      <c r="D353" s="98" t="s">
        <v>17</v>
      </c>
      <c r="E353" s="98"/>
      <c r="F353" s="135"/>
      <c r="G353" s="100">
        <v>0</v>
      </c>
      <c r="H353" s="101">
        <f t="shared" si="73"/>
        <v>0</v>
      </c>
      <c r="I353" s="102">
        <f t="shared" si="74"/>
        <v>0</v>
      </c>
      <c r="K353" s="97"/>
      <c r="L353" s="148">
        <f>Table1354[[#This Row],[Total]]</f>
        <v>0</v>
      </c>
    </row>
    <row r="354" spans="3:12" ht="13.5" x14ac:dyDescent="0.25">
      <c r="C354" s="97" t="s">
        <v>473</v>
      </c>
      <c r="D354" s="98" t="s">
        <v>18</v>
      </c>
      <c r="E354" s="98"/>
      <c r="F354" s="135"/>
      <c r="G354" s="100">
        <v>0</v>
      </c>
      <c r="H354" s="101">
        <f t="shared" si="73"/>
        <v>0</v>
      </c>
      <c r="I354" s="102">
        <f t="shared" si="74"/>
        <v>0</v>
      </c>
      <c r="K354" s="97"/>
      <c r="L354" s="148">
        <f>Table1354[[#This Row],[Total]]</f>
        <v>0</v>
      </c>
    </row>
    <row r="355" spans="3:12" ht="13.5" x14ac:dyDescent="0.25">
      <c r="C355" s="97" t="s">
        <v>474</v>
      </c>
      <c r="D355" s="98" t="s">
        <v>19</v>
      </c>
      <c r="E355" s="98"/>
      <c r="F355" s="135"/>
      <c r="G355" s="100">
        <v>0</v>
      </c>
      <c r="H355" s="101">
        <f t="shared" si="73"/>
        <v>0</v>
      </c>
      <c r="I355" s="102">
        <f t="shared" si="74"/>
        <v>0</v>
      </c>
      <c r="K355" s="97"/>
      <c r="L355" s="148">
        <f>Table1354[[#This Row],[Total]]</f>
        <v>0</v>
      </c>
    </row>
    <row r="356" spans="3:12" ht="16" x14ac:dyDescent="0.35">
      <c r="C356" s="121"/>
      <c r="D356" s="122"/>
      <c r="E356" s="122"/>
      <c r="F356" s="136"/>
      <c r="G356" s="126" t="s">
        <v>927</v>
      </c>
      <c r="H356" s="123">
        <f>SUM(H349:H355)</f>
        <v>0</v>
      </c>
      <c r="I356" s="124">
        <f t="shared" si="74"/>
        <v>0</v>
      </c>
      <c r="K356" s="144"/>
      <c r="L356" s="123">
        <f>SUM(L349:L355)</f>
        <v>0</v>
      </c>
    </row>
    <row r="357" spans="3:12" ht="18" thickBot="1" x14ac:dyDescent="0.4">
      <c r="C357" s="118"/>
      <c r="D357" s="119"/>
      <c r="E357" s="119"/>
      <c r="F357" s="137"/>
      <c r="G357" s="119" t="s">
        <v>928</v>
      </c>
      <c r="H357" s="120">
        <f>SUM(H356)</f>
        <v>0</v>
      </c>
      <c r="I357" s="127">
        <f t="shared" si="74"/>
        <v>0</v>
      </c>
      <c r="K357" s="140"/>
      <c r="L357" s="151">
        <f>SUM(L356)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7B3D7-D397-4260-9024-E236139613CF}">
  <sheetPr codeName="Sheet2"/>
  <dimension ref="D3:L45"/>
  <sheetViews>
    <sheetView workbookViewId="0">
      <selection activeCell="H8" sqref="H8"/>
    </sheetView>
  </sheetViews>
  <sheetFormatPr defaultRowHeight="12.5" x14ac:dyDescent="0.25"/>
  <cols>
    <col min="4" max="4" width="15.54296875" bestFit="1" customWidth="1"/>
    <col min="5" max="5" width="41.54296875" customWidth="1"/>
    <col min="9" max="9" width="15.453125" bestFit="1" customWidth="1"/>
  </cols>
  <sheetData>
    <row r="3" spans="4:10" x14ac:dyDescent="0.25">
      <c r="D3" t="s">
        <v>476</v>
      </c>
    </row>
    <row r="4" spans="4:10" x14ac:dyDescent="0.25">
      <c r="D4" t="s">
        <v>935</v>
      </c>
    </row>
    <row r="5" spans="4:10" x14ac:dyDescent="0.25">
      <c r="D5" t="s">
        <v>936</v>
      </c>
      <c r="E5" s="1" t="e">
        <f>#REF!</f>
        <v>#REF!</v>
      </c>
      <c r="I5" t="s">
        <v>937</v>
      </c>
    </row>
    <row r="7" spans="4:10" x14ac:dyDescent="0.25">
      <c r="D7" s="35" t="s">
        <v>204</v>
      </c>
      <c r="E7" s="36" t="s">
        <v>205</v>
      </c>
      <c r="F7" s="2" t="s">
        <v>29</v>
      </c>
      <c r="G7" s="2" t="s">
        <v>30</v>
      </c>
      <c r="H7" s="2" t="s">
        <v>61</v>
      </c>
      <c r="I7" s="2" t="s">
        <v>44</v>
      </c>
      <c r="J7" s="2" t="s">
        <v>938</v>
      </c>
    </row>
    <row r="8" spans="4:10" ht="13.5" x14ac:dyDescent="0.25">
      <c r="D8" s="35" t="s">
        <v>70</v>
      </c>
      <c r="E8" s="97" t="s">
        <v>71</v>
      </c>
      <c r="F8" s="2"/>
      <c r="G8" s="98" t="s">
        <v>72</v>
      </c>
      <c r="H8" s="3">
        <v>0</v>
      </c>
      <c r="I8" s="3">
        <v>0</v>
      </c>
      <c r="J8" s="2"/>
    </row>
    <row r="9" spans="4:10" ht="13.5" x14ac:dyDescent="0.25">
      <c r="D9" s="35" t="s">
        <v>463</v>
      </c>
      <c r="E9" s="97" t="s">
        <v>464</v>
      </c>
      <c r="F9" s="2"/>
      <c r="G9" s="98" t="s">
        <v>72</v>
      </c>
      <c r="H9" s="3">
        <v>0</v>
      </c>
      <c r="I9" s="3">
        <v>0</v>
      </c>
      <c r="J9" s="2"/>
    </row>
    <row r="10" spans="4:10" ht="13.5" x14ac:dyDescent="0.25">
      <c r="D10" s="35" t="s">
        <v>465</v>
      </c>
      <c r="E10" s="97" t="s">
        <v>466</v>
      </c>
      <c r="F10" s="2"/>
      <c r="G10" s="98" t="s">
        <v>72</v>
      </c>
      <c r="H10" s="3">
        <v>0</v>
      </c>
      <c r="I10" s="3">
        <v>0</v>
      </c>
      <c r="J10" s="2"/>
    </row>
    <row r="11" spans="4:10" ht="13.5" x14ac:dyDescent="0.25">
      <c r="D11" s="35" t="s">
        <v>467</v>
      </c>
      <c r="E11" s="97" t="s">
        <v>496</v>
      </c>
      <c r="F11" s="2"/>
      <c r="G11" s="98" t="s">
        <v>72</v>
      </c>
      <c r="H11" s="3">
        <v>0</v>
      </c>
      <c r="I11" s="3">
        <v>0</v>
      </c>
      <c r="J11" s="2"/>
    </row>
    <row r="12" spans="4:10" ht="13.5" x14ac:dyDescent="0.25">
      <c r="D12" s="35" t="s">
        <v>77</v>
      </c>
      <c r="E12" s="97" t="s">
        <v>78</v>
      </c>
      <c r="F12" s="2"/>
      <c r="G12" s="98" t="s">
        <v>65</v>
      </c>
      <c r="H12" s="3">
        <v>120</v>
      </c>
      <c r="I12" s="3">
        <v>0</v>
      </c>
      <c r="J12" s="2"/>
    </row>
    <row r="13" spans="4:10" ht="13.5" x14ac:dyDescent="0.25">
      <c r="D13" s="35" t="s">
        <v>79</v>
      </c>
      <c r="E13" s="97" t="s">
        <v>80</v>
      </c>
      <c r="F13" s="2"/>
      <c r="G13" s="98" t="s">
        <v>65</v>
      </c>
      <c r="H13" s="3">
        <v>112</v>
      </c>
      <c r="I13" s="3">
        <v>0</v>
      </c>
      <c r="J13" s="2"/>
    </row>
    <row r="14" spans="4:10" ht="13.5" x14ac:dyDescent="0.25">
      <c r="D14" s="35" t="s">
        <v>81</v>
      </c>
      <c r="E14" s="97" t="s">
        <v>82</v>
      </c>
      <c r="F14" s="2"/>
      <c r="G14" s="98" t="s">
        <v>65</v>
      </c>
      <c r="H14" s="3">
        <v>90</v>
      </c>
      <c r="I14" s="3">
        <v>0</v>
      </c>
      <c r="J14" s="2"/>
    </row>
    <row r="15" spans="4:10" ht="13.5" x14ac:dyDescent="0.25">
      <c r="D15" s="35" t="s">
        <v>83</v>
      </c>
      <c r="E15" s="97" t="s">
        <v>84</v>
      </c>
      <c r="F15" s="2"/>
      <c r="G15" s="98" t="s">
        <v>65</v>
      </c>
      <c r="H15" s="3">
        <v>73</v>
      </c>
      <c r="I15" s="3">
        <v>0</v>
      </c>
      <c r="J15" s="2"/>
    </row>
    <row r="16" spans="4:10" ht="13.5" x14ac:dyDescent="0.25">
      <c r="D16" s="35" t="s">
        <v>63</v>
      </c>
      <c r="E16" s="97" t="s">
        <v>64</v>
      </c>
      <c r="F16" s="2" t="e">
        <f>#REF!</f>
        <v>#REF!</v>
      </c>
      <c r="G16" s="98" t="s">
        <v>65</v>
      </c>
      <c r="H16" s="3">
        <v>105</v>
      </c>
      <c r="I16" s="3" t="e">
        <f>F16*H16</f>
        <v>#REF!</v>
      </c>
      <c r="J16" s="2"/>
    </row>
    <row r="17" spans="4:11" ht="13.5" x14ac:dyDescent="0.25">
      <c r="D17" s="35" t="s">
        <v>66</v>
      </c>
      <c r="E17" s="97" t="s">
        <v>67</v>
      </c>
      <c r="F17" s="2"/>
      <c r="G17" s="98" t="s">
        <v>65</v>
      </c>
      <c r="H17" s="3">
        <v>102</v>
      </c>
      <c r="I17" s="3">
        <v>0</v>
      </c>
      <c r="J17" s="2"/>
    </row>
    <row r="18" spans="4:11" ht="13.5" x14ac:dyDescent="0.25">
      <c r="D18" s="35" t="s">
        <v>68</v>
      </c>
      <c r="E18" s="97" t="s">
        <v>69</v>
      </c>
      <c r="F18" s="2"/>
      <c r="G18" s="98" t="s">
        <v>65</v>
      </c>
      <c r="H18" s="3">
        <v>80</v>
      </c>
      <c r="I18" s="3">
        <v>0</v>
      </c>
      <c r="J18" s="2"/>
    </row>
    <row r="19" spans="4:11" ht="13.5" x14ac:dyDescent="0.25">
      <c r="D19" s="35" t="s">
        <v>85</v>
      </c>
      <c r="E19" s="97" t="s">
        <v>86</v>
      </c>
      <c r="F19" s="2"/>
      <c r="G19" s="98" t="s">
        <v>65</v>
      </c>
      <c r="H19" s="3">
        <v>54</v>
      </c>
      <c r="I19" s="3">
        <v>0</v>
      </c>
      <c r="J19" s="2"/>
    </row>
    <row r="20" spans="4:11" ht="13.5" x14ac:dyDescent="0.25">
      <c r="D20" s="35" t="s">
        <v>87</v>
      </c>
      <c r="E20" s="97" t="s">
        <v>507</v>
      </c>
      <c r="F20" s="2"/>
      <c r="G20" s="98" t="s">
        <v>91</v>
      </c>
      <c r="H20" s="3">
        <v>0</v>
      </c>
      <c r="I20" s="3">
        <v>0</v>
      </c>
      <c r="J20" s="2"/>
    </row>
    <row r="21" spans="4:11" ht="13.5" x14ac:dyDescent="0.25">
      <c r="D21" s="35" t="s">
        <v>89</v>
      </c>
      <c r="E21" s="97" t="s">
        <v>90</v>
      </c>
      <c r="F21" s="2"/>
      <c r="G21" s="98" t="s">
        <v>91</v>
      </c>
      <c r="H21" s="3">
        <v>0</v>
      </c>
      <c r="I21" s="3">
        <v>0</v>
      </c>
      <c r="J21" s="2"/>
      <c r="K21" t="s">
        <v>939</v>
      </c>
    </row>
    <row r="22" spans="4:11" ht="13.5" x14ac:dyDescent="0.25">
      <c r="D22" s="35" t="s">
        <v>92</v>
      </c>
      <c r="E22" s="97" t="s">
        <v>93</v>
      </c>
      <c r="F22" s="2"/>
      <c r="G22" s="98" t="s">
        <v>91</v>
      </c>
      <c r="H22" s="3">
        <v>0</v>
      </c>
      <c r="I22" s="3">
        <v>0</v>
      </c>
      <c r="J22" s="2"/>
      <c r="K22" t="s">
        <v>940</v>
      </c>
    </row>
    <row r="23" spans="4:11" ht="13.5" x14ac:dyDescent="0.25">
      <c r="D23" s="35" t="s">
        <v>94</v>
      </c>
      <c r="E23" s="97" t="s">
        <v>95</v>
      </c>
      <c r="F23" s="2"/>
      <c r="G23" s="98" t="s">
        <v>91</v>
      </c>
      <c r="H23" s="3">
        <v>0</v>
      </c>
      <c r="I23" s="3">
        <v>0</v>
      </c>
      <c r="J23" s="2"/>
    </row>
    <row r="24" spans="4:11" ht="13.5" x14ac:dyDescent="0.25">
      <c r="D24" s="35" t="s">
        <v>96</v>
      </c>
      <c r="E24" s="97" t="s">
        <v>97</v>
      </c>
      <c r="F24" s="2"/>
      <c r="G24" s="98" t="s">
        <v>88</v>
      </c>
      <c r="H24" s="3">
        <v>0</v>
      </c>
      <c r="I24" s="3">
        <v>0</v>
      </c>
      <c r="J24" s="2"/>
    </row>
    <row r="25" spans="4:11" ht="13.5" x14ac:dyDescent="0.25">
      <c r="D25" s="35" t="s">
        <v>98</v>
      </c>
      <c r="E25" s="97" t="s">
        <v>99</v>
      </c>
      <c r="F25" s="2"/>
      <c r="G25" s="98" t="s">
        <v>91</v>
      </c>
      <c r="H25" s="3">
        <v>0</v>
      </c>
      <c r="I25" s="3">
        <v>0</v>
      </c>
      <c r="J25" s="2"/>
    </row>
    <row r="26" spans="4:11" ht="13.5" x14ac:dyDescent="0.25">
      <c r="D26" s="35" t="s">
        <v>100</v>
      </c>
      <c r="E26" s="97" t="s">
        <v>514</v>
      </c>
      <c r="F26" s="2"/>
      <c r="G26" s="98" t="s">
        <v>25</v>
      </c>
      <c r="H26" s="3">
        <v>0</v>
      </c>
      <c r="I26" s="3">
        <v>0</v>
      </c>
      <c r="J26" s="2"/>
    </row>
    <row r="27" spans="4:11" ht="13.5" x14ac:dyDescent="0.25">
      <c r="D27" s="35" t="s">
        <v>101</v>
      </c>
      <c r="E27" s="97" t="s">
        <v>102</v>
      </c>
      <c r="F27" s="2"/>
      <c r="G27" s="98" t="s">
        <v>91</v>
      </c>
      <c r="H27" s="3">
        <v>0</v>
      </c>
      <c r="I27" s="3">
        <v>0</v>
      </c>
      <c r="J27" s="2"/>
    </row>
    <row r="28" spans="4:11" ht="13.5" x14ac:dyDescent="0.25">
      <c r="D28" s="35" t="s">
        <v>103</v>
      </c>
      <c r="E28" s="97" t="s">
        <v>104</v>
      </c>
      <c r="F28" s="2"/>
      <c r="G28" s="98" t="s">
        <v>91</v>
      </c>
      <c r="H28" s="3">
        <v>0</v>
      </c>
      <c r="I28" s="3">
        <v>0</v>
      </c>
      <c r="J28" s="2"/>
    </row>
    <row r="29" spans="4:11" ht="13.5" x14ac:dyDescent="0.25">
      <c r="D29" s="35" t="s">
        <v>105</v>
      </c>
      <c r="E29" s="97" t="s">
        <v>106</v>
      </c>
      <c r="F29" s="2"/>
      <c r="G29" s="98" t="s">
        <v>91</v>
      </c>
      <c r="H29" s="3">
        <v>0</v>
      </c>
      <c r="I29" s="3">
        <v>0</v>
      </c>
      <c r="J29" s="2"/>
    </row>
    <row r="30" spans="4:11" ht="13.5" x14ac:dyDescent="0.25">
      <c r="D30" s="35" t="s">
        <v>107</v>
      </c>
      <c r="E30" s="97" t="s">
        <v>108</v>
      </c>
      <c r="F30" s="2"/>
      <c r="G30" s="98" t="s">
        <v>91</v>
      </c>
      <c r="H30" s="3">
        <v>0</v>
      </c>
      <c r="I30" s="3">
        <v>0</v>
      </c>
      <c r="J30" s="2"/>
    </row>
    <row r="31" spans="4:11" ht="13.5" x14ac:dyDescent="0.25">
      <c r="D31" s="35" t="s">
        <v>109</v>
      </c>
      <c r="E31" s="97" t="s">
        <v>110</v>
      </c>
      <c r="F31" s="2"/>
      <c r="G31" s="98" t="s">
        <v>25</v>
      </c>
      <c r="H31" s="3">
        <v>0</v>
      </c>
      <c r="I31" s="3">
        <v>0</v>
      </c>
      <c r="J31" s="2"/>
    </row>
    <row r="32" spans="4:11" ht="13.5" x14ac:dyDescent="0.25">
      <c r="D32" s="35" t="s">
        <v>111</v>
      </c>
      <c r="E32" s="97" t="s">
        <v>112</v>
      </c>
      <c r="F32" s="2"/>
      <c r="G32" s="98" t="s">
        <v>25</v>
      </c>
      <c r="H32" s="3">
        <v>0</v>
      </c>
      <c r="I32" s="3">
        <v>0</v>
      </c>
      <c r="J32" s="2"/>
    </row>
    <row r="33" spans="4:12" ht="13.5" x14ac:dyDescent="0.25">
      <c r="D33" s="35" t="s">
        <v>113</v>
      </c>
      <c r="E33" s="97" t="s">
        <v>114</v>
      </c>
      <c r="F33" s="2"/>
      <c r="G33" s="98" t="s">
        <v>25</v>
      </c>
      <c r="H33" s="3">
        <v>0</v>
      </c>
      <c r="I33" s="3">
        <v>0</v>
      </c>
      <c r="J33" s="2"/>
    </row>
    <row r="34" spans="4:12" ht="13.5" x14ac:dyDescent="0.25">
      <c r="D34" s="35" t="s">
        <v>115</v>
      </c>
      <c r="E34" s="97" t="s">
        <v>116</v>
      </c>
      <c r="F34" s="2"/>
      <c r="G34" s="98" t="s">
        <v>25</v>
      </c>
      <c r="H34" s="3">
        <v>0</v>
      </c>
      <c r="I34" s="3">
        <v>0</v>
      </c>
      <c r="J34" s="2"/>
    </row>
    <row r="35" spans="4:12" ht="13.5" x14ac:dyDescent="0.25">
      <c r="D35" s="35" t="s">
        <v>117</v>
      </c>
      <c r="E35" s="97" t="s">
        <v>118</v>
      </c>
      <c r="F35" s="2"/>
      <c r="G35" s="98" t="s">
        <v>91</v>
      </c>
      <c r="H35" s="3">
        <v>0</v>
      </c>
      <c r="I35" s="3">
        <v>0</v>
      </c>
      <c r="J35" s="2"/>
    </row>
    <row r="36" spans="4:12" ht="13.5" x14ac:dyDescent="0.25">
      <c r="D36" s="35" t="s">
        <v>119</v>
      </c>
      <c r="E36" s="97" t="s">
        <v>120</v>
      </c>
      <c r="F36" s="2"/>
      <c r="G36" s="98" t="s">
        <v>91</v>
      </c>
      <c r="H36" s="3">
        <v>0</v>
      </c>
      <c r="I36" s="3">
        <v>0</v>
      </c>
      <c r="J36" s="2"/>
    </row>
    <row r="37" spans="4:12" ht="13.5" x14ac:dyDescent="0.25">
      <c r="D37" s="35" t="s">
        <v>121</v>
      </c>
      <c r="E37" s="97" t="s">
        <v>122</v>
      </c>
      <c r="F37" s="2"/>
      <c r="G37" s="98" t="s">
        <v>91</v>
      </c>
      <c r="H37" s="3">
        <v>0</v>
      </c>
      <c r="I37" s="3">
        <v>0</v>
      </c>
      <c r="J37" s="2"/>
    </row>
    <row r="38" spans="4:12" ht="13.5" x14ac:dyDescent="0.25">
      <c r="D38" s="35" t="s">
        <v>123</v>
      </c>
      <c r="E38" s="97" t="s">
        <v>124</v>
      </c>
      <c r="F38" s="2"/>
      <c r="G38" s="98" t="s">
        <v>91</v>
      </c>
      <c r="H38" s="3">
        <v>0</v>
      </c>
      <c r="I38" s="3">
        <v>0</v>
      </c>
      <c r="J38" s="2"/>
    </row>
    <row r="39" spans="4:12" ht="13.5" x14ac:dyDescent="0.25">
      <c r="D39" s="35" t="s">
        <v>125</v>
      </c>
      <c r="E39" s="97" t="s">
        <v>126</v>
      </c>
      <c r="F39" s="2"/>
      <c r="G39" s="98" t="s">
        <v>91</v>
      </c>
      <c r="H39" s="3">
        <v>0</v>
      </c>
      <c r="I39" s="3">
        <v>0</v>
      </c>
      <c r="J39" s="2"/>
    </row>
    <row r="40" spans="4:12" ht="13.5" x14ac:dyDescent="0.25">
      <c r="D40" s="35" t="s">
        <v>127</v>
      </c>
      <c r="E40" s="97" t="s">
        <v>128</v>
      </c>
      <c r="F40" s="2"/>
      <c r="G40" s="98" t="s">
        <v>72</v>
      </c>
      <c r="H40" s="3">
        <v>0</v>
      </c>
      <c r="I40" s="3">
        <v>0</v>
      </c>
      <c r="J40" s="2"/>
    </row>
    <row r="42" spans="4:12" ht="13" x14ac:dyDescent="0.3">
      <c r="D42" s="4" t="s">
        <v>941</v>
      </c>
      <c r="K42" t="s">
        <v>942</v>
      </c>
    </row>
    <row r="45" spans="4:12" x14ac:dyDescent="0.25">
      <c r="L45" s="5">
        <v>4.4999999999999998E-2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1CD7-77CF-4E30-A18A-1C6F7A645832}">
  <sheetPr codeName="Sheet7"/>
  <dimension ref="C3:L317"/>
  <sheetViews>
    <sheetView zoomScale="85" zoomScaleNormal="85" workbookViewId="0">
      <selection activeCell="I4" sqref="I4"/>
    </sheetView>
  </sheetViews>
  <sheetFormatPr defaultRowHeight="12.5" x14ac:dyDescent="0.25"/>
  <cols>
    <col min="3" max="3" width="12.26953125" customWidth="1"/>
    <col min="4" max="4" width="51" customWidth="1"/>
    <col min="5" max="5" width="16.26953125" customWidth="1"/>
    <col min="6" max="6" width="11.54296875" bestFit="1" customWidth="1"/>
    <col min="7" max="7" width="15.1796875" customWidth="1"/>
    <col min="8" max="8" width="16" customWidth="1"/>
    <col min="9" max="9" width="23.26953125" customWidth="1"/>
    <col min="10" max="10" width="3.26953125" customWidth="1"/>
    <col min="11" max="11" width="19.81640625" customWidth="1"/>
    <col min="12" max="12" width="22.81640625" bestFit="1" customWidth="1"/>
  </cols>
  <sheetData>
    <row r="3" spans="3:12" ht="15" x14ac:dyDescent="0.3">
      <c r="I3" s="152" t="s">
        <v>931</v>
      </c>
    </row>
    <row r="4" spans="3:12" ht="13" thickBot="1" x14ac:dyDescent="0.3">
      <c r="I4">
        <v>0</v>
      </c>
    </row>
    <row r="5" spans="3:12" ht="18.5" thickBot="1" x14ac:dyDescent="0.4">
      <c r="C5" s="131" t="s">
        <v>60</v>
      </c>
      <c r="D5" s="132" t="s">
        <v>20</v>
      </c>
      <c r="E5" s="132" t="s">
        <v>29</v>
      </c>
      <c r="F5" s="132" t="s">
        <v>30</v>
      </c>
      <c r="G5" s="132" t="s">
        <v>61</v>
      </c>
      <c r="H5" s="132" t="s">
        <v>44</v>
      </c>
      <c r="I5" s="133" t="s">
        <v>932</v>
      </c>
      <c r="J5" s="134"/>
      <c r="K5" s="150" t="s">
        <v>203</v>
      </c>
      <c r="L5" s="146" t="s">
        <v>786</v>
      </c>
    </row>
    <row r="6" spans="3:12" ht="17.5" x14ac:dyDescent="0.35">
      <c r="C6" s="116" t="s">
        <v>789</v>
      </c>
      <c r="D6" s="117"/>
      <c r="E6" s="117"/>
      <c r="F6" s="117"/>
      <c r="G6" s="117"/>
      <c r="H6" s="128"/>
      <c r="I6" s="129"/>
      <c r="K6" s="130"/>
      <c r="L6" s="147"/>
    </row>
    <row r="7" spans="3:12" ht="13.5" x14ac:dyDescent="0.25">
      <c r="C7" s="97" t="s">
        <v>158</v>
      </c>
      <c r="D7" s="98" t="s">
        <v>159</v>
      </c>
      <c r="E7" s="99">
        <v>1</v>
      </c>
      <c r="F7" s="135" t="s">
        <v>72</v>
      </c>
      <c r="G7" s="100">
        <v>0</v>
      </c>
      <c r="H7" s="101">
        <f>E7*G7</f>
        <v>0</v>
      </c>
      <c r="I7" s="102">
        <f>IF($I$4=0, 0, H7/$I$4)</f>
        <v>0</v>
      </c>
      <c r="K7" s="97"/>
      <c r="L7" s="148">
        <f>Table135[[#This Row],[Total]]</f>
        <v>0</v>
      </c>
    </row>
    <row r="8" spans="3:12" ht="13.5" x14ac:dyDescent="0.25">
      <c r="C8" s="97" t="s">
        <v>132</v>
      </c>
      <c r="D8" s="98" t="s">
        <v>133</v>
      </c>
      <c r="E8" s="99">
        <v>0</v>
      </c>
      <c r="F8" s="135" t="s">
        <v>72</v>
      </c>
      <c r="G8" s="100">
        <v>0</v>
      </c>
      <c r="H8" s="101">
        <f t="shared" ref="H8:H23" si="0">E8*G8</f>
        <v>0</v>
      </c>
      <c r="I8" s="102">
        <f t="shared" ref="I8:I23" si="1">IF($I$4=0, 0, H8/$I$4)</f>
        <v>0</v>
      </c>
      <c r="K8" s="97"/>
      <c r="L8" s="148">
        <f>Table135[[#This Row],[Total]]</f>
        <v>0</v>
      </c>
    </row>
    <row r="9" spans="3:12" ht="13.5" x14ac:dyDescent="0.25">
      <c r="C9" s="97" t="s">
        <v>160</v>
      </c>
      <c r="D9" s="98" t="s">
        <v>161</v>
      </c>
      <c r="E9" s="99">
        <v>100</v>
      </c>
      <c r="F9" s="135" t="s">
        <v>25</v>
      </c>
      <c r="G9" s="100">
        <v>0</v>
      </c>
      <c r="H9" s="101">
        <f t="shared" si="0"/>
        <v>0</v>
      </c>
      <c r="I9" s="102">
        <f t="shared" si="1"/>
        <v>0</v>
      </c>
      <c r="K9" s="97"/>
      <c r="L9" s="148">
        <f>Table135[[#This Row],[Total]]</f>
        <v>0</v>
      </c>
    </row>
    <row r="10" spans="3:12" ht="13.5" x14ac:dyDescent="0.25">
      <c r="C10" s="97" t="s">
        <v>134</v>
      </c>
      <c r="D10" s="98" t="s">
        <v>135</v>
      </c>
      <c r="E10" s="99">
        <v>1039.2</v>
      </c>
      <c r="F10" s="135" t="s">
        <v>65</v>
      </c>
      <c r="G10" s="100">
        <v>0</v>
      </c>
      <c r="H10" s="101">
        <f t="shared" si="0"/>
        <v>0</v>
      </c>
      <c r="I10" s="102">
        <f t="shared" si="1"/>
        <v>0</v>
      </c>
      <c r="K10" s="97"/>
      <c r="L10" s="148">
        <f>Table135[[#This Row],[Total]]</f>
        <v>0</v>
      </c>
    </row>
    <row r="11" spans="3:12" ht="13.5" x14ac:dyDescent="0.25">
      <c r="C11" s="97" t="s">
        <v>134</v>
      </c>
      <c r="D11" s="98" t="s">
        <v>136</v>
      </c>
      <c r="E11" s="99">
        <v>1558.8000000000002</v>
      </c>
      <c r="F11" s="135" t="s">
        <v>65</v>
      </c>
      <c r="G11" s="100">
        <v>0</v>
      </c>
      <c r="H11" s="101">
        <f t="shared" si="0"/>
        <v>0</v>
      </c>
      <c r="I11" s="102">
        <f t="shared" si="1"/>
        <v>0</v>
      </c>
      <c r="K11" s="97"/>
      <c r="L11" s="148">
        <f>Table135[[#This Row],[Total]]</f>
        <v>0</v>
      </c>
    </row>
    <row r="12" spans="3:12" ht="13.5" x14ac:dyDescent="0.25">
      <c r="C12" s="97" t="s">
        <v>137</v>
      </c>
      <c r="D12" s="98" t="s">
        <v>138</v>
      </c>
      <c r="E12" s="99">
        <v>14</v>
      </c>
      <c r="F12" s="135" t="s">
        <v>91</v>
      </c>
      <c r="G12" s="100">
        <v>0</v>
      </c>
      <c r="H12" s="101">
        <f t="shared" si="0"/>
        <v>0</v>
      </c>
      <c r="I12" s="102">
        <f t="shared" si="1"/>
        <v>0</v>
      </c>
      <c r="K12" s="97"/>
      <c r="L12" s="148">
        <f>Table135[[#This Row],[Total]]</f>
        <v>0</v>
      </c>
    </row>
    <row r="13" spans="3:12" ht="13.5" x14ac:dyDescent="0.25">
      <c r="C13" s="97" t="s">
        <v>139</v>
      </c>
      <c r="D13" s="98" t="s">
        <v>140</v>
      </c>
      <c r="E13" s="99">
        <v>300000</v>
      </c>
      <c r="F13" s="135" t="s">
        <v>27</v>
      </c>
      <c r="G13" s="100">
        <v>0</v>
      </c>
      <c r="H13" s="101">
        <f t="shared" si="0"/>
        <v>0</v>
      </c>
      <c r="I13" s="102">
        <f t="shared" si="1"/>
        <v>0</v>
      </c>
      <c r="K13" s="97"/>
      <c r="L13" s="148">
        <f>Table135[[#This Row],[Total]]</f>
        <v>0</v>
      </c>
    </row>
    <row r="14" spans="3:12" ht="13.5" x14ac:dyDescent="0.25">
      <c r="C14" s="97" t="s">
        <v>141</v>
      </c>
      <c r="D14" s="98" t="s">
        <v>142</v>
      </c>
      <c r="E14" s="99">
        <v>0</v>
      </c>
      <c r="F14" s="135" t="s">
        <v>25</v>
      </c>
      <c r="G14" s="100">
        <v>0</v>
      </c>
      <c r="H14" s="101">
        <f t="shared" si="0"/>
        <v>0</v>
      </c>
      <c r="I14" s="102">
        <f t="shared" si="1"/>
        <v>0</v>
      </c>
      <c r="K14" s="97"/>
      <c r="L14" s="148">
        <f>Table135[[#This Row],[Total]]</f>
        <v>0</v>
      </c>
    </row>
    <row r="15" spans="3:12" ht="13.5" x14ac:dyDescent="0.25">
      <c r="C15" s="97" t="s">
        <v>143</v>
      </c>
      <c r="D15" s="98" t="s">
        <v>144</v>
      </c>
      <c r="E15" s="99">
        <v>0</v>
      </c>
      <c r="F15" s="135" t="s">
        <v>23</v>
      </c>
      <c r="G15" s="100">
        <v>0</v>
      </c>
      <c r="H15" s="101">
        <f t="shared" si="0"/>
        <v>0</v>
      </c>
      <c r="I15" s="102">
        <f t="shared" si="1"/>
        <v>0</v>
      </c>
      <c r="K15" s="97"/>
      <c r="L15" s="148">
        <f>Table135[[#This Row],[Total]]</f>
        <v>0</v>
      </c>
    </row>
    <row r="16" spans="3:12" ht="13.5" x14ac:dyDescent="0.25">
      <c r="C16" s="97" t="s">
        <v>145</v>
      </c>
      <c r="D16" s="98" t="s">
        <v>146</v>
      </c>
      <c r="E16" s="99">
        <v>1200</v>
      </c>
      <c r="F16" s="135" t="s">
        <v>23</v>
      </c>
      <c r="G16" s="100">
        <v>0</v>
      </c>
      <c r="H16" s="101">
        <f t="shared" si="0"/>
        <v>0</v>
      </c>
      <c r="I16" s="102">
        <f t="shared" si="1"/>
        <v>0</v>
      </c>
      <c r="K16" s="97"/>
      <c r="L16" s="148">
        <f>Table135[[#This Row],[Total]]</f>
        <v>0</v>
      </c>
    </row>
    <row r="17" spans="3:12" ht="13.5" x14ac:dyDescent="0.25">
      <c r="C17" s="97" t="s">
        <v>147</v>
      </c>
      <c r="D17" s="98" t="s">
        <v>148</v>
      </c>
      <c r="E17" s="99">
        <v>600</v>
      </c>
      <c r="F17" s="135" t="s">
        <v>23</v>
      </c>
      <c r="G17" s="100">
        <v>0</v>
      </c>
      <c r="H17" s="101">
        <f t="shared" si="0"/>
        <v>0</v>
      </c>
      <c r="I17" s="102">
        <f t="shared" si="1"/>
        <v>0</v>
      </c>
      <c r="K17" s="97"/>
      <c r="L17" s="148">
        <f>Table135[[#This Row],[Total]]</f>
        <v>0</v>
      </c>
    </row>
    <row r="18" spans="3:12" ht="13.5" x14ac:dyDescent="0.25">
      <c r="C18" s="97" t="s">
        <v>149</v>
      </c>
      <c r="D18" s="98" t="s">
        <v>150</v>
      </c>
      <c r="E18" s="99">
        <v>1</v>
      </c>
      <c r="F18" s="135" t="s">
        <v>72</v>
      </c>
      <c r="G18" s="100">
        <v>0</v>
      </c>
      <c r="H18" s="101">
        <f t="shared" si="0"/>
        <v>0</v>
      </c>
      <c r="I18" s="102">
        <f t="shared" si="1"/>
        <v>0</v>
      </c>
      <c r="K18" s="97"/>
      <c r="L18" s="148">
        <f>Table135[[#This Row],[Total]]</f>
        <v>0</v>
      </c>
    </row>
    <row r="19" spans="3:12" ht="13.5" x14ac:dyDescent="0.25">
      <c r="C19" s="97" t="s">
        <v>151</v>
      </c>
      <c r="D19" s="98" t="s">
        <v>152</v>
      </c>
      <c r="E19" s="99">
        <v>6</v>
      </c>
      <c r="F19" s="135" t="s">
        <v>91</v>
      </c>
      <c r="G19" s="100">
        <v>0</v>
      </c>
      <c r="H19" s="101">
        <f t="shared" si="0"/>
        <v>0</v>
      </c>
      <c r="I19" s="102">
        <f t="shared" si="1"/>
        <v>0</v>
      </c>
      <c r="K19" s="97"/>
      <c r="L19" s="148">
        <f>Table135[[#This Row],[Total]]</f>
        <v>0</v>
      </c>
    </row>
    <row r="20" spans="3:12" ht="13.5" x14ac:dyDescent="0.25">
      <c r="C20" s="97" t="s">
        <v>153</v>
      </c>
      <c r="D20" s="98" t="s">
        <v>154</v>
      </c>
      <c r="E20" s="99">
        <v>14</v>
      </c>
      <c r="F20" s="135" t="s">
        <v>91</v>
      </c>
      <c r="G20" s="100">
        <v>0</v>
      </c>
      <c r="H20" s="101">
        <f t="shared" si="0"/>
        <v>0</v>
      </c>
      <c r="I20" s="102">
        <f t="shared" si="1"/>
        <v>0</v>
      </c>
      <c r="K20" s="97"/>
      <c r="L20" s="148">
        <f>Table135[[#This Row],[Total]]</f>
        <v>0</v>
      </c>
    </row>
    <row r="21" spans="3:12" ht="13.5" x14ac:dyDescent="0.25">
      <c r="C21" s="97" t="s">
        <v>155</v>
      </c>
      <c r="D21" s="98" t="s">
        <v>156</v>
      </c>
      <c r="E21" s="99">
        <v>14</v>
      </c>
      <c r="F21" s="135" t="s">
        <v>91</v>
      </c>
      <c r="G21" s="100">
        <v>0</v>
      </c>
      <c r="H21" s="101">
        <f t="shared" si="0"/>
        <v>0</v>
      </c>
      <c r="I21" s="102">
        <f t="shared" si="1"/>
        <v>0</v>
      </c>
      <c r="K21" s="97"/>
      <c r="L21" s="148">
        <f>Table135[[#This Row],[Total]]</f>
        <v>0</v>
      </c>
    </row>
    <row r="22" spans="3:12" ht="13.5" x14ac:dyDescent="0.25">
      <c r="C22" s="97" t="s">
        <v>157</v>
      </c>
      <c r="D22" s="98" t="s">
        <v>549</v>
      </c>
      <c r="E22" s="103">
        <v>1</v>
      </c>
      <c r="F22" s="135" t="s">
        <v>25</v>
      </c>
      <c r="G22" s="100">
        <v>0</v>
      </c>
      <c r="H22" s="101">
        <f t="shared" si="0"/>
        <v>0</v>
      </c>
      <c r="I22" s="102">
        <f t="shared" si="1"/>
        <v>0</v>
      </c>
      <c r="K22" s="97"/>
      <c r="L22" s="148">
        <f>Table135[[#This Row],[Total]]</f>
        <v>0</v>
      </c>
    </row>
    <row r="23" spans="3:12" ht="13.5" x14ac:dyDescent="0.25">
      <c r="C23" s="97" t="s">
        <v>162</v>
      </c>
      <c r="D23" s="98" t="s">
        <v>163</v>
      </c>
      <c r="E23" s="103">
        <v>0</v>
      </c>
      <c r="F23" s="135" t="s">
        <v>25</v>
      </c>
      <c r="G23" s="100">
        <v>0</v>
      </c>
      <c r="H23" s="101">
        <f t="shared" si="0"/>
        <v>0</v>
      </c>
      <c r="I23" s="102">
        <f t="shared" si="1"/>
        <v>0</v>
      </c>
      <c r="K23" s="97"/>
      <c r="L23" s="148">
        <f>Table135[[#This Row],[Total]]</f>
        <v>0</v>
      </c>
    </row>
    <row r="24" spans="3:12" ht="16" x14ac:dyDescent="0.35">
      <c r="C24" s="121"/>
      <c r="D24" s="122"/>
      <c r="E24" s="122"/>
      <c r="F24" s="136"/>
      <c r="G24" s="126" t="s">
        <v>790</v>
      </c>
      <c r="H24" s="123">
        <f>SUM(H7:H23)</f>
        <v>0</v>
      </c>
      <c r="I24" s="124">
        <f>IF($I$4=0, 0, H23/$I$4)</f>
        <v>0</v>
      </c>
      <c r="K24" s="125"/>
      <c r="L24" s="123">
        <f>SUM(L7:L23)</f>
        <v>0</v>
      </c>
    </row>
    <row r="25" spans="3:12" ht="13.5" x14ac:dyDescent="0.25">
      <c r="C25" s="97" t="s">
        <v>164</v>
      </c>
      <c r="D25" s="98" t="s">
        <v>165</v>
      </c>
      <c r="E25" s="103">
        <v>1</v>
      </c>
      <c r="F25" s="135" t="s">
        <v>72</v>
      </c>
      <c r="G25" s="100">
        <v>0</v>
      </c>
      <c r="H25" s="101">
        <f t="shared" ref="H25:H47" si="2">E25*G25</f>
        <v>0</v>
      </c>
      <c r="I25" s="102">
        <f t="shared" ref="I25:I49" si="3">IF($I$4=0, 0, H25/$I$4)</f>
        <v>0</v>
      </c>
      <c r="K25" s="97"/>
      <c r="L25" s="148">
        <f>Table135[[#This Row],[Total]]</f>
        <v>0</v>
      </c>
    </row>
    <row r="26" spans="3:12" ht="16" x14ac:dyDescent="0.35">
      <c r="C26" s="121"/>
      <c r="D26" s="122"/>
      <c r="E26" s="122"/>
      <c r="F26" s="136"/>
      <c r="G26" s="126" t="s">
        <v>791</v>
      </c>
      <c r="H26" s="123">
        <f>SUM(H25)</f>
        <v>0</v>
      </c>
      <c r="I26" s="124">
        <f t="shared" si="3"/>
        <v>0</v>
      </c>
      <c r="K26" s="125"/>
      <c r="L26" s="123">
        <f>SUM(L25)</f>
        <v>0</v>
      </c>
    </row>
    <row r="27" spans="3:12" ht="13.5" x14ac:dyDescent="0.25">
      <c r="C27" s="97" t="s">
        <v>166</v>
      </c>
      <c r="D27" s="98" t="s">
        <v>167</v>
      </c>
      <c r="E27" s="103">
        <v>0</v>
      </c>
      <c r="F27" s="135" t="s">
        <v>72</v>
      </c>
      <c r="G27" s="100">
        <v>0</v>
      </c>
      <c r="H27" s="101">
        <f t="shared" si="2"/>
        <v>0</v>
      </c>
      <c r="I27" s="102">
        <f t="shared" si="3"/>
        <v>0</v>
      </c>
      <c r="K27" s="97"/>
      <c r="L27" s="148">
        <f>Table135[[#This Row],[Total]]</f>
        <v>0</v>
      </c>
    </row>
    <row r="28" spans="3:12" ht="13.5" x14ac:dyDescent="0.25">
      <c r="C28" s="97" t="s">
        <v>168</v>
      </c>
      <c r="D28" s="98" t="s">
        <v>169</v>
      </c>
      <c r="E28" s="103">
        <v>0</v>
      </c>
      <c r="F28" s="135" t="s">
        <v>25</v>
      </c>
      <c r="G28" s="100">
        <v>0</v>
      </c>
      <c r="H28" s="101">
        <f t="shared" si="2"/>
        <v>0</v>
      </c>
      <c r="I28" s="102">
        <f t="shared" si="3"/>
        <v>0</v>
      </c>
      <c r="K28" s="97"/>
      <c r="L28" s="148">
        <f>Table135[[#This Row],[Total]]</f>
        <v>0</v>
      </c>
    </row>
    <row r="29" spans="3:12" ht="13.5" x14ac:dyDescent="0.25">
      <c r="C29" s="97" t="s">
        <v>170</v>
      </c>
      <c r="D29" s="98" t="s">
        <v>171</v>
      </c>
      <c r="E29" s="103">
        <v>1</v>
      </c>
      <c r="F29" s="135" t="s">
        <v>72</v>
      </c>
      <c r="G29" s="100">
        <v>0</v>
      </c>
      <c r="H29" s="101">
        <f t="shared" si="2"/>
        <v>0</v>
      </c>
      <c r="I29" s="102">
        <f t="shared" si="3"/>
        <v>0</v>
      </c>
      <c r="K29" s="97"/>
      <c r="L29" s="148">
        <f>Table135[[#This Row],[Total]]</f>
        <v>0</v>
      </c>
    </row>
    <row r="30" spans="3:12" ht="13.5" x14ac:dyDescent="0.25">
      <c r="C30" s="97" t="s">
        <v>172</v>
      </c>
      <c r="D30" s="98" t="s">
        <v>173</v>
      </c>
      <c r="E30" s="103">
        <v>1</v>
      </c>
      <c r="F30" s="135" t="s">
        <v>72</v>
      </c>
      <c r="G30" s="100">
        <v>0</v>
      </c>
      <c r="H30" s="101">
        <f t="shared" si="2"/>
        <v>0</v>
      </c>
      <c r="I30" s="102">
        <f t="shared" si="3"/>
        <v>0</v>
      </c>
      <c r="K30" s="97"/>
      <c r="L30" s="148">
        <f>Table135[[#This Row],[Total]]</f>
        <v>0</v>
      </c>
    </row>
    <row r="31" spans="3:12" ht="13.5" x14ac:dyDescent="0.25">
      <c r="C31" s="97" t="s">
        <v>174</v>
      </c>
      <c r="D31" s="98" t="s">
        <v>175</v>
      </c>
      <c r="E31" s="103">
        <v>0</v>
      </c>
      <c r="F31" s="135" t="s">
        <v>72</v>
      </c>
      <c r="G31" s="100">
        <v>0</v>
      </c>
      <c r="H31" s="101">
        <f t="shared" si="2"/>
        <v>0</v>
      </c>
      <c r="I31" s="102">
        <f t="shared" si="3"/>
        <v>0</v>
      </c>
      <c r="K31" s="97"/>
      <c r="L31" s="148">
        <f>Table135[[#This Row],[Total]]</f>
        <v>0</v>
      </c>
    </row>
    <row r="32" spans="3:12" ht="13.5" x14ac:dyDescent="0.25">
      <c r="C32" s="97" t="s">
        <v>176</v>
      </c>
      <c r="D32" s="98" t="s">
        <v>177</v>
      </c>
      <c r="E32" s="103">
        <v>0</v>
      </c>
      <c r="F32" s="135" t="s">
        <v>72</v>
      </c>
      <c r="G32" s="100">
        <v>0</v>
      </c>
      <c r="H32" s="101">
        <f t="shared" si="2"/>
        <v>0</v>
      </c>
      <c r="I32" s="102">
        <f t="shared" si="3"/>
        <v>0</v>
      </c>
      <c r="K32" s="97"/>
      <c r="L32" s="148">
        <f>Table135[[#This Row],[Total]]</f>
        <v>0</v>
      </c>
    </row>
    <row r="33" spans="3:12" ht="13.5" x14ac:dyDescent="0.25">
      <c r="C33" s="97" t="s">
        <v>178</v>
      </c>
      <c r="D33" s="98" t="s">
        <v>179</v>
      </c>
      <c r="E33" s="103">
        <v>0</v>
      </c>
      <c r="F33" s="135" t="s">
        <v>72</v>
      </c>
      <c r="G33" s="100">
        <v>0</v>
      </c>
      <c r="H33" s="101">
        <f t="shared" si="2"/>
        <v>0</v>
      </c>
      <c r="I33" s="102">
        <f t="shared" si="3"/>
        <v>0</v>
      </c>
      <c r="K33" s="97"/>
      <c r="L33" s="148">
        <f>Table135[[#This Row],[Total]]</f>
        <v>0</v>
      </c>
    </row>
    <row r="34" spans="3:12" ht="16" x14ac:dyDescent="0.35">
      <c r="C34" s="121"/>
      <c r="D34" s="122"/>
      <c r="E34" s="122"/>
      <c r="F34" s="136"/>
      <c r="G34" s="126" t="s">
        <v>792</v>
      </c>
      <c r="H34" s="123">
        <f>SUM(H27:H33)</f>
        <v>0</v>
      </c>
      <c r="I34" s="124">
        <f t="shared" si="3"/>
        <v>0</v>
      </c>
      <c r="K34" s="125"/>
      <c r="L34" s="123">
        <f>SUM(L27:L33)</f>
        <v>0</v>
      </c>
    </row>
    <row r="35" spans="3:12" ht="13.5" x14ac:dyDescent="0.25">
      <c r="C35" s="97" t="s">
        <v>180</v>
      </c>
      <c r="D35" s="98" t="s">
        <v>181</v>
      </c>
      <c r="E35" s="103">
        <v>10</v>
      </c>
      <c r="F35" s="135" t="s">
        <v>91</v>
      </c>
      <c r="G35" s="100">
        <v>0</v>
      </c>
      <c r="H35" s="101">
        <f t="shared" si="2"/>
        <v>0</v>
      </c>
      <c r="I35" s="102">
        <f t="shared" si="3"/>
        <v>0</v>
      </c>
      <c r="K35" s="97"/>
      <c r="L35" s="148">
        <f>Table135[[#This Row],[Total]]</f>
        <v>0</v>
      </c>
    </row>
    <row r="36" spans="3:12" ht="13.5" x14ac:dyDescent="0.25">
      <c r="C36" s="97" t="s">
        <v>182</v>
      </c>
      <c r="D36" s="98" t="s">
        <v>183</v>
      </c>
      <c r="E36" s="103">
        <v>0</v>
      </c>
      <c r="F36" s="135" t="s">
        <v>91</v>
      </c>
      <c r="G36" s="100">
        <v>0</v>
      </c>
      <c r="H36" s="101">
        <f t="shared" si="2"/>
        <v>0</v>
      </c>
      <c r="I36" s="102">
        <f t="shared" si="3"/>
        <v>0</v>
      </c>
      <c r="K36" s="97"/>
      <c r="L36" s="148">
        <f>Table135[[#This Row],[Total]]</f>
        <v>0</v>
      </c>
    </row>
    <row r="37" spans="3:12" ht="13.5" x14ac:dyDescent="0.25">
      <c r="C37" s="97" t="s">
        <v>184</v>
      </c>
      <c r="D37" s="98" t="s">
        <v>185</v>
      </c>
      <c r="E37" s="103">
        <v>0</v>
      </c>
      <c r="F37" s="135" t="s">
        <v>91</v>
      </c>
      <c r="G37" s="100">
        <v>0</v>
      </c>
      <c r="H37" s="101">
        <f t="shared" si="2"/>
        <v>0</v>
      </c>
      <c r="I37" s="102">
        <f t="shared" si="3"/>
        <v>0</v>
      </c>
      <c r="K37" s="97"/>
      <c r="L37" s="148">
        <f>Table135[[#This Row],[Total]]</f>
        <v>0</v>
      </c>
    </row>
    <row r="38" spans="3:12" ht="13.5" x14ac:dyDescent="0.25">
      <c r="C38" s="97" t="s">
        <v>186</v>
      </c>
      <c r="D38" s="98" t="s">
        <v>187</v>
      </c>
      <c r="E38" s="103">
        <v>14</v>
      </c>
      <c r="F38" s="135" t="s">
        <v>91</v>
      </c>
      <c r="G38" s="100">
        <v>0</v>
      </c>
      <c r="H38" s="101">
        <f t="shared" si="2"/>
        <v>0</v>
      </c>
      <c r="I38" s="102">
        <f t="shared" si="3"/>
        <v>0</v>
      </c>
      <c r="K38" s="97"/>
      <c r="L38" s="148">
        <f>Table135[[#This Row],[Total]]</f>
        <v>0</v>
      </c>
    </row>
    <row r="39" spans="3:12" ht="13.5" x14ac:dyDescent="0.25">
      <c r="C39" s="97" t="s">
        <v>188</v>
      </c>
      <c r="D39" s="98" t="s">
        <v>189</v>
      </c>
      <c r="E39" s="103">
        <v>12</v>
      </c>
      <c r="F39" s="135" t="s">
        <v>91</v>
      </c>
      <c r="G39" s="100">
        <v>0</v>
      </c>
      <c r="H39" s="101">
        <f t="shared" si="2"/>
        <v>0</v>
      </c>
      <c r="I39" s="102">
        <f t="shared" si="3"/>
        <v>0</v>
      </c>
      <c r="K39" s="97"/>
      <c r="L39" s="148">
        <f>Table135[[#This Row],[Total]]</f>
        <v>0</v>
      </c>
    </row>
    <row r="40" spans="3:12" ht="13.5" x14ac:dyDescent="0.25">
      <c r="C40" s="97" t="s">
        <v>190</v>
      </c>
      <c r="D40" s="98" t="s">
        <v>191</v>
      </c>
      <c r="E40" s="103">
        <v>12</v>
      </c>
      <c r="F40" s="135" t="s">
        <v>91</v>
      </c>
      <c r="G40" s="100">
        <v>0</v>
      </c>
      <c r="H40" s="101">
        <f t="shared" si="2"/>
        <v>0</v>
      </c>
      <c r="I40" s="102">
        <f t="shared" si="3"/>
        <v>0</v>
      </c>
      <c r="K40" s="97"/>
      <c r="L40" s="148">
        <f>Table135[[#This Row],[Total]]</f>
        <v>0</v>
      </c>
    </row>
    <row r="41" spans="3:12" ht="16" x14ac:dyDescent="0.35">
      <c r="C41" s="121"/>
      <c r="D41" s="122"/>
      <c r="E41" s="122"/>
      <c r="F41" s="136"/>
      <c r="G41" s="126" t="s">
        <v>793</v>
      </c>
      <c r="H41" s="123">
        <f>SUM(H35:H40)</f>
        <v>0</v>
      </c>
      <c r="I41" s="124">
        <f t="shared" si="3"/>
        <v>0</v>
      </c>
      <c r="K41" s="125"/>
      <c r="L41" s="123">
        <f>SUM(L35:L40)</f>
        <v>0</v>
      </c>
    </row>
    <row r="42" spans="3:12" ht="13.5" x14ac:dyDescent="0.25">
      <c r="C42" s="97" t="s">
        <v>192</v>
      </c>
      <c r="D42" s="98" t="s">
        <v>566</v>
      </c>
      <c r="E42" s="103">
        <v>0</v>
      </c>
      <c r="F42" s="135" t="s">
        <v>72</v>
      </c>
      <c r="G42" s="100">
        <v>0</v>
      </c>
      <c r="H42" s="104">
        <f t="shared" si="2"/>
        <v>0</v>
      </c>
      <c r="I42" s="102">
        <f t="shared" si="3"/>
        <v>0</v>
      </c>
      <c r="K42" s="97"/>
      <c r="L42" s="148">
        <f>Table135[[#This Row],[Total]]</f>
        <v>0</v>
      </c>
    </row>
    <row r="43" spans="3:12" ht="13.5" x14ac:dyDescent="0.25">
      <c r="C43" s="97" t="s">
        <v>193</v>
      </c>
      <c r="D43" s="98" t="s">
        <v>194</v>
      </c>
      <c r="E43" s="103">
        <v>0</v>
      </c>
      <c r="F43" s="135" t="s">
        <v>72</v>
      </c>
      <c r="G43" s="100">
        <v>0</v>
      </c>
      <c r="H43" s="104">
        <f t="shared" si="2"/>
        <v>0</v>
      </c>
      <c r="I43" s="102">
        <f t="shared" si="3"/>
        <v>0</v>
      </c>
      <c r="K43" s="97"/>
      <c r="L43" s="148">
        <f>Table135[[#This Row],[Total]]</f>
        <v>0</v>
      </c>
    </row>
    <row r="44" spans="3:12" ht="13.5" x14ac:dyDescent="0.25">
      <c r="C44" s="97" t="s">
        <v>195</v>
      </c>
      <c r="D44" s="98" t="s">
        <v>196</v>
      </c>
      <c r="E44" s="103">
        <v>0</v>
      </c>
      <c r="F44" s="135" t="s">
        <v>72</v>
      </c>
      <c r="G44" s="100">
        <v>0</v>
      </c>
      <c r="H44" s="104">
        <f t="shared" si="2"/>
        <v>0</v>
      </c>
      <c r="I44" s="102">
        <f t="shared" si="3"/>
        <v>0</v>
      </c>
      <c r="K44" s="97"/>
      <c r="L44" s="148">
        <f>Table135[[#This Row],[Total]]</f>
        <v>0</v>
      </c>
    </row>
    <row r="45" spans="3:12" ht="13.5" x14ac:dyDescent="0.25">
      <c r="C45" s="97" t="s">
        <v>197</v>
      </c>
      <c r="D45" s="98" t="s">
        <v>198</v>
      </c>
      <c r="E45" s="103">
        <v>1</v>
      </c>
      <c r="F45" s="135" t="s">
        <v>72</v>
      </c>
      <c r="G45" s="100">
        <v>0</v>
      </c>
      <c r="H45" s="104">
        <f t="shared" si="2"/>
        <v>0</v>
      </c>
      <c r="I45" s="102">
        <f t="shared" si="3"/>
        <v>0</v>
      </c>
      <c r="K45" s="97"/>
      <c r="L45" s="148">
        <f>Table135[[#This Row],[Total]]</f>
        <v>0</v>
      </c>
    </row>
    <row r="46" spans="3:12" ht="13.5" x14ac:dyDescent="0.25">
      <c r="C46" s="97" t="s">
        <v>199</v>
      </c>
      <c r="D46" s="98" t="s">
        <v>200</v>
      </c>
      <c r="E46" s="103">
        <v>0</v>
      </c>
      <c r="F46" s="135" t="s">
        <v>72</v>
      </c>
      <c r="G46" s="100">
        <v>0</v>
      </c>
      <c r="H46" s="104">
        <f t="shared" si="2"/>
        <v>0</v>
      </c>
      <c r="I46" s="102">
        <f t="shared" si="3"/>
        <v>0</v>
      </c>
      <c r="K46" s="97"/>
      <c r="L46" s="148">
        <f>Table135[[#This Row],[Total]]</f>
        <v>0</v>
      </c>
    </row>
    <row r="47" spans="3:12" ht="13.5" x14ac:dyDescent="0.25">
      <c r="C47" s="97" t="s">
        <v>201</v>
      </c>
      <c r="D47" s="98" t="s">
        <v>202</v>
      </c>
      <c r="E47" s="103">
        <v>0</v>
      </c>
      <c r="F47" s="135" t="s">
        <v>72</v>
      </c>
      <c r="G47" s="100">
        <v>0</v>
      </c>
      <c r="H47" s="104">
        <f t="shared" si="2"/>
        <v>0</v>
      </c>
      <c r="I47" s="102">
        <f t="shared" si="3"/>
        <v>0</v>
      </c>
      <c r="K47" s="97"/>
      <c r="L47" s="148">
        <f>Table135[[#This Row],[Total]]</f>
        <v>0</v>
      </c>
    </row>
    <row r="48" spans="3:12" ht="16" x14ac:dyDescent="0.35">
      <c r="C48" s="121"/>
      <c r="D48" s="122"/>
      <c r="E48" s="122"/>
      <c r="F48" s="136"/>
      <c r="G48" s="126" t="s">
        <v>794</v>
      </c>
      <c r="H48" s="123">
        <f>SUM(H42:H47)</f>
        <v>0</v>
      </c>
      <c r="I48" s="124">
        <f t="shared" si="3"/>
        <v>0</v>
      </c>
      <c r="K48" s="125"/>
      <c r="L48" s="123">
        <f>SUM(L42:L47)</f>
        <v>0</v>
      </c>
    </row>
    <row r="49" spans="3:12" ht="18" thickBot="1" x14ac:dyDescent="0.4">
      <c r="C49" s="118"/>
      <c r="D49" s="119"/>
      <c r="E49" s="119"/>
      <c r="F49" s="137"/>
      <c r="G49" s="119" t="s">
        <v>795</v>
      </c>
      <c r="H49" s="120">
        <f>SUM(H24,H26,H34,H41,H48)</f>
        <v>0</v>
      </c>
      <c r="I49" s="127">
        <f t="shared" si="3"/>
        <v>0</v>
      </c>
      <c r="K49" s="140"/>
      <c r="L49" s="120">
        <f>SUM(L24,L26,L34,L41,L48)</f>
        <v>0</v>
      </c>
    </row>
    <row r="50" spans="3:12" ht="17.5" x14ac:dyDescent="0.35">
      <c r="C50" s="116" t="s">
        <v>796</v>
      </c>
      <c r="D50" s="117"/>
      <c r="E50" s="117"/>
      <c r="F50" s="138"/>
      <c r="G50" s="117"/>
      <c r="H50" s="128"/>
      <c r="I50" s="129"/>
      <c r="K50" s="141"/>
      <c r="L50" s="149"/>
    </row>
    <row r="51" spans="3:12" ht="13.5" x14ac:dyDescent="0.25">
      <c r="C51" s="97" t="s">
        <v>21</v>
      </c>
      <c r="D51" s="98" t="s">
        <v>206</v>
      </c>
      <c r="E51" s="98">
        <v>1</v>
      </c>
      <c r="F51" s="135" t="s">
        <v>72</v>
      </c>
      <c r="G51" s="100">
        <v>0</v>
      </c>
      <c r="H51" s="101">
        <f t="shared" ref="H51:H59" si="4">E51*G51</f>
        <v>0</v>
      </c>
      <c r="I51" s="102">
        <f t="shared" ref="I51:I60" si="5">IF($I$4=0, 0, H51/$I$4)</f>
        <v>0</v>
      </c>
      <c r="K51" s="142"/>
      <c r="L51" s="148">
        <f>Table135[[#This Row],[Total]]</f>
        <v>0</v>
      </c>
    </row>
    <row r="52" spans="3:12" ht="13.5" x14ac:dyDescent="0.25">
      <c r="C52" s="97" t="s">
        <v>21</v>
      </c>
      <c r="D52" s="98" t="s">
        <v>22</v>
      </c>
      <c r="E52" s="98">
        <v>2050</v>
      </c>
      <c r="F52" s="135" t="s">
        <v>23</v>
      </c>
      <c r="G52" s="100">
        <v>0</v>
      </c>
      <c r="H52" s="101">
        <f t="shared" si="4"/>
        <v>0</v>
      </c>
      <c r="I52" s="102">
        <f t="shared" si="5"/>
        <v>0</v>
      </c>
      <c r="K52" s="97"/>
      <c r="L52" s="148">
        <f>Table135[[#This Row],[Total]]</f>
        <v>0</v>
      </c>
    </row>
    <row r="53" spans="3:12" ht="13.5" x14ac:dyDescent="0.25">
      <c r="C53" s="97" t="s">
        <v>21</v>
      </c>
      <c r="D53" s="98" t="s">
        <v>24</v>
      </c>
      <c r="E53" s="98">
        <v>96</v>
      </c>
      <c r="F53" s="135" t="s">
        <v>25</v>
      </c>
      <c r="G53" s="100">
        <v>0</v>
      </c>
      <c r="H53" s="101">
        <f t="shared" si="4"/>
        <v>0</v>
      </c>
      <c r="I53" s="102">
        <f t="shared" si="5"/>
        <v>0</v>
      </c>
      <c r="K53" s="97"/>
      <c r="L53" s="148">
        <f>Table135[[#This Row],[Total]]</f>
        <v>0</v>
      </c>
    </row>
    <row r="54" spans="3:12" ht="13.5" x14ac:dyDescent="0.25">
      <c r="C54" s="97" t="s">
        <v>21</v>
      </c>
      <c r="D54" s="98" t="s">
        <v>26</v>
      </c>
      <c r="E54" s="98">
        <v>18000</v>
      </c>
      <c r="F54" s="135" t="s">
        <v>27</v>
      </c>
      <c r="G54" s="100">
        <v>0</v>
      </c>
      <c r="H54" s="101">
        <f t="shared" si="4"/>
        <v>0</v>
      </c>
      <c r="I54" s="102">
        <f t="shared" si="5"/>
        <v>0</v>
      </c>
      <c r="K54" s="97"/>
      <c r="L54" s="148">
        <f>Table135[[#This Row],[Total]]</f>
        <v>0</v>
      </c>
    </row>
    <row r="55" spans="3:12" ht="13.5" x14ac:dyDescent="0.25">
      <c r="C55" s="97" t="s">
        <v>21</v>
      </c>
      <c r="D55" s="98" t="s">
        <v>28</v>
      </c>
      <c r="E55" s="98">
        <v>60000</v>
      </c>
      <c r="F55" s="135" t="s">
        <v>27</v>
      </c>
      <c r="G55" s="100">
        <v>0</v>
      </c>
      <c r="H55" s="101">
        <f t="shared" si="4"/>
        <v>0</v>
      </c>
      <c r="I55" s="102">
        <f t="shared" si="5"/>
        <v>0</v>
      </c>
      <c r="K55" s="97"/>
      <c r="L55" s="148">
        <f>Table135[[#This Row],[Total]]</f>
        <v>0</v>
      </c>
    </row>
    <row r="56" spans="3:12" ht="13.5" x14ac:dyDescent="0.25">
      <c r="C56" s="97" t="s">
        <v>21</v>
      </c>
      <c r="D56" s="98" t="s">
        <v>208</v>
      </c>
      <c r="E56" s="98">
        <v>704</v>
      </c>
      <c r="F56" s="135" t="s">
        <v>27</v>
      </c>
      <c r="G56" s="100">
        <v>0</v>
      </c>
      <c r="H56" s="101">
        <f t="shared" si="4"/>
        <v>0</v>
      </c>
      <c r="I56" s="102">
        <f t="shared" si="5"/>
        <v>0</v>
      </c>
      <c r="K56" s="97"/>
      <c r="L56" s="148">
        <f>Table135[[#This Row],[Total]]</f>
        <v>0</v>
      </c>
    </row>
    <row r="57" spans="3:12" ht="13.5" x14ac:dyDescent="0.25">
      <c r="C57" s="97" t="s">
        <v>21</v>
      </c>
      <c r="D57" s="98" t="s">
        <v>209</v>
      </c>
      <c r="E57" s="98">
        <v>1</v>
      </c>
      <c r="F57" s="135" t="s">
        <v>27</v>
      </c>
      <c r="G57" s="100">
        <v>0</v>
      </c>
      <c r="H57" s="101">
        <f t="shared" si="4"/>
        <v>0</v>
      </c>
      <c r="I57" s="102">
        <f t="shared" si="5"/>
        <v>0</v>
      </c>
      <c r="K57" s="97"/>
      <c r="L57" s="148">
        <f>Table135[[#This Row],[Total]]</f>
        <v>0</v>
      </c>
    </row>
    <row r="58" spans="3:12" ht="13.5" x14ac:dyDescent="0.25">
      <c r="C58" s="97" t="s">
        <v>21</v>
      </c>
      <c r="D58" s="98" t="s">
        <v>210</v>
      </c>
      <c r="E58" s="98">
        <v>1</v>
      </c>
      <c r="F58" s="135" t="s">
        <v>27</v>
      </c>
      <c r="G58" s="100">
        <v>0</v>
      </c>
      <c r="H58" s="101">
        <f t="shared" si="4"/>
        <v>0</v>
      </c>
      <c r="I58" s="102">
        <f t="shared" si="5"/>
        <v>0</v>
      </c>
      <c r="K58" s="97"/>
      <c r="L58" s="148">
        <f>Table135[[#This Row],[Total]]</f>
        <v>0</v>
      </c>
    </row>
    <row r="59" spans="3:12" ht="13.5" x14ac:dyDescent="0.25">
      <c r="C59" s="97" t="s">
        <v>21</v>
      </c>
      <c r="D59" s="98" t="s">
        <v>250</v>
      </c>
      <c r="E59" s="98">
        <v>10</v>
      </c>
      <c r="F59" s="135" t="s">
        <v>27</v>
      </c>
      <c r="G59" s="100">
        <v>0</v>
      </c>
      <c r="H59" s="101">
        <f t="shared" si="4"/>
        <v>0</v>
      </c>
      <c r="I59" s="102">
        <f t="shared" si="5"/>
        <v>0</v>
      </c>
      <c r="K59" s="97"/>
      <c r="L59" s="148">
        <f>Table135[[#This Row],[Total]]</f>
        <v>0</v>
      </c>
    </row>
    <row r="60" spans="3:12" ht="16" x14ac:dyDescent="0.35">
      <c r="C60" s="121"/>
      <c r="D60" s="122"/>
      <c r="E60" s="122"/>
      <c r="F60" s="136"/>
      <c r="G60" s="126" t="s">
        <v>797</v>
      </c>
      <c r="H60" s="123">
        <f>SUM(H51:H59)</f>
        <v>0</v>
      </c>
      <c r="I60" s="124">
        <f t="shared" si="5"/>
        <v>0</v>
      </c>
      <c r="K60" s="144"/>
      <c r="L60" s="123">
        <f>SUM(L51:L59)</f>
        <v>0</v>
      </c>
    </row>
    <row r="61" spans="3:12" ht="13.5" x14ac:dyDescent="0.25">
      <c r="C61" s="97" t="s">
        <v>211</v>
      </c>
      <c r="D61" s="98" t="s">
        <v>212</v>
      </c>
      <c r="E61" s="98">
        <v>0</v>
      </c>
      <c r="F61" s="135" t="s">
        <v>27</v>
      </c>
      <c r="G61" s="100">
        <v>0</v>
      </c>
      <c r="H61" s="101">
        <f>E61*G61</f>
        <v>0</v>
      </c>
      <c r="I61" s="102">
        <f>IF($I$4=0, 0, H61/$I$4)</f>
        <v>0</v>
      </c>
      <c r="K61" s="97"/>
      <c r="L61" s="148">
        <f>Table135[[#This Row],[Total]]</f>
        <v>0</v>
      </c>
    </row>
    <row r="62" spans="3:12" ht="16" x14ac:dyDescent="0.35">
      <c r="C62" s="121"/>
      <c r="D62" s="122"/>
      <c r="E62" s="122"/>
      <c r="F62" s="136"/>
      <c r="G62" s="126" t="s">
        <v>798</v>
      </c>
      <c r="H62" s="123">
        <f>SUM(H61)</f>
        <v>0</v>
      </c>
      <c r="I62" s="124">
        <f t="shared" ref="I62" si="6">IF($I$4=0, 0, H62/$I$4)</f>
        <v>0</v>
      </c>
      <c r="K62" s="144"/>
      <c r="L62" s="123">
        <f>SUM(L61)</f>
        <v>0</v>
      </c>
    </row>
    <row r="63" spans="3:12" ht="13.5" x14ac:dyDescent="0.25">
      <c r="C63" s="97" t="s">
        <v>31</v>
      </c>
      <c r="D63" s="98" t="s">
        <v>32</v>
      </c>
      <c r="E63" s="98">
        <v>120000</v>
      </c>
      <c r="F63" s="135" t="s">
        <v>27</v>
      </c>
      <c r="G63" s="100">
        <v>0</v>
      </c>
      <c r="H63" s="101">
        <f>E63*G63</f>
        <v>0</v>
      </c>
      <c r="I63" s="102">
        <f>IF($I$4=0, 0, H63/$I$4)</f>
        <v>0</v>
      </c>
      <c r="K63" s="97"/>
      <c r="L63" s="148">
        <f>Table135[[#This Row],[Total]]</f>
        <v>0</v>
      </c>
    </row>
    <row r="64" spans="3:12" ht="13.5" x14ac:dyDescent="0.25">
      <c r="C64" s="97" t="s">
        <v>213</v>
      </c>
      <c r="D64" s="98" t="s">
        <v>214</v>
      </c>
      <c r="E64" s="98">
        <v>0</v>
      </c>
      <c r="F64" s="135" t="s">
        <v>27</v>
      </c>
      <c r="G64" s="100">
        <v>0</v>
      </c>
      <c r="H64" s="101">
        <f>E64*G64</f>
        <v>0</v>
      </c>
      <c r="I64" s="102">
        <f>IF($I$4=0, 0, H64/$I$4)</f>
        <v>0</v>
      </c>
      <c r="K64" s="97"/>
      <c r="L64" s="148">
        <f>Table135[[#This Row],[Total]]</f>
        <v>0</v>
      </c>
    </row>
    <row r="65" spans="3:12" ht="16" x14ac:dyDescent="0.35">
      <c r="C65" s="121"/>
      <c r="D65" s="122"/>
      <c r="E65" s="122"/>
      <c r="F65" s="136"/>
      <c r="G65" s="126" t="s">
        <v>799</v>
      </c>
      <c r="H65" s="123">
        <f>SUM(H63:H64)</f>
        <v>0</v>
      </c>
      <c r="I65" s="124">
        <f t="shared" ref="I65:I69" si="7">IF($I$4=0, 0, H65/$I$4)</f>
        <v>0</v>
      </c>
      <c r="K65" s="145"/>
      <c r="L65" s="123">
        <f>SUM(L63:L64)</f>
        <v>0</v>
      </c>
    </row>
    <row r="66" spans="3:12" ht="13.5" x14ac:dyDescent="0.25">
      <c r="C66" s="97" t="s">
        <v>33</v>
      </c>
      <c r="D66" s="98" t="s">
        <v>34</v>
      </c>
      <c r="E66" s="98">
        <v>300000</v>
      </c>
      <c r="F66" s="135" t="s">
        <v>27</v>
      </c>
      <c r="G66" s="100">
        <v>0</v>
      </c>
      <c r="H66" s="101">
        <f t="shared" ref="H66:H67" si="8">E66*G66</f>
        <v>0</v>
      </c>
      <c r="I66" s="102">
        <f t="shared" si="7"/>
        <v>0</v>
      </c>
      <c r="K66" s="97"/>
      <c r="L66" s="148">
        <f>Table135[[#This Row],[Total]]</f>
        <v>0</v>
      </c>
    </row>
    <row r="67" spans="3:12" ht="13.5" x14ac:dyDescent="0.25">
      <c r="C67" s="97" t="s">
        <v>33</v>
      </c>
      <c r="D67" s="98" t="s">
        <v>215</v>
      </c>
      <c r="E67" s="98">
        <v>0</v>
      </c>
      <c r="F67" s="135" t="s">
        <v>27</v>
      </c>
      <c r="G67" s="100">
        <v>0</v>
      </c>
      <c r="H67" s="101">
        <f t="shared" si="8"/>
        <v>0</v>
      </c>
      <c r="I67" s="102">
        <f t="shared" si="7"/>
        <v>0</v>
      </c>
      <c r="K67" s="97"/>
      <c r="L67" s="148">
        <f>Table135[[#This Row],[Total]]</f>
        <v>0</v>
      </c>
    </row>
    <row r="68" spans="3:12" ht="16" x14ac:dyDescent="0.35">
      <c r="C68" s="121"/>
      <c r="D68" s="122"/>
      <c r="E68" s="122"/>
      <c r="F68" s="136"/>
      <c r="G68" s="126" t="s">
        <v>800</v>
      </c>
      <c r="H68" s="123">
        <f>SUM(H66:H67)</f>
        <v>0</v>
      </c>
      <c r="I68" s="124">
        <f t="shared" si="7"/>
        <v>0</v>
      </c>
      <c r="K68" s="125"/>
      <c r="L68" s="123">
        <f>SUM(L66:L67)</f>
        <v>0</v>
      </c>
    </row>
    <row r="69" spans="3:12" ht="18" thickBot="1" x14ac:dyDescent="0.4">
      <c r="C69" s="118"/>
      <c r="D69" s="119"/>
      <c r="E69" s="119"/>
      <c r="F69" s="137"/>
      <c r="G69" s="119" t="s">
        <v>801</v>
      </c>
      <c r="H69" s="120">
        <f>SUM(H60,H62,H65,H68)</f>
        <v>0</v>
      </c>
      <c r="I69" s="127">
        <f t="shared" si="7"/>
        <v>0</v>
      </c>
      <c r="K69" s="140"/>
      <c r="L69" s="120">
        <f>SUM(L60,L62,L65,L68)</f>
        <v>0</v>
      </c>
    </row>
    <row r="70" spans="3:12" ht="18" thickBot="1" x14ac:dyDescent="0.4">
      <c r="C70" s="116" t="s">
        <v>802</v>
      </c>
      <c r="D70" s="117"/>
      <c r="E70" s="117"/>
      <c r="F70" s="138"/>
      <c r="G70" s="117"/>
      <c r="H70" s="128"/>
      <c r="I70" s="129"/>
      <c r="K70" s="141"/>
      <c r="L70" s="149"/>
    </row>
    <row r="71" spans="3:12" ht="13.5" x14ac:dyDescent="0.25">
      <c r="C71" s="97" t="s">
        <v>35</v>
      </c>
      <c r="D71" s="98" t="s">
        <v>803</v>
      </c>
      <c r="E71" s="98">
        <v>30000</v>
      </c>
      <c r="F71" s="135" t="s">
        <v>27</v>
      </c>
      <c r="G71" s="100">
        <v>0</v>
      </c>
      <c r="H71" s="101">
        <f t="shared" ref="H71:H73" si="9">E71*G71</f>
        <v>0</v>
      </c>
      <c r="I71" s="102">
        <f t="shared" ref="I71:I75" si="10">IF($I$4=0, 0, H71/$I$4)</f>
        <v>0</v>
      </c>
      <c r="K71" s="143"/>
      <c r="L71" s="148">
        <f>Table135[[#This Row],[Total]]</f>
        <v>0</v>
      </c>
    </row>
    <row r="72" spans="3:12" ht="13.5" x14ac:dyDescent="0.25">
      <c r="C72" s="97" t="s">
        <v>35</v>
      </c>
      <c r="D72" s="98" t="s">
        <v>804</v>
      </c>
      <c r="E72" s="98">
        <v>0</v>
      </c>
      <c r="F72" s="135" t="s">
        <v>27</v>
      </c>
      <c r="G72" s="100">
        <v>0</v>
      </c>
      <c r="H72" s="101">
        <f t="shared" si="9"/>
        <v>0</v>
      </c>
      <c r="I72" s="102">
        <f t="shared" si="10"/>
        <v>0</v>
      </c>
      <c r="K72" s="97"/>
      <c r="L72" s="148">
        <f>Table135[[#This Row],[Total]]</f>
        <v>0</v>
      </c>
    </row>
    <row r="73" spans="3:12" ht="13.5" x14ac:dyDescent="0.25">
      <c r="C73" s="97" t="s">
        <v>35</v>
      </c>
      <c r="D73" s="98" t="s">
        <v>36</v>
      </c>
      <c r="E73" s="98">
        <v>33075</v>
      </c>
      <c r="F73" s="135" t="s">
        <v>27</v>
      </c>
      <c r="G73" s="100">
        <v>0</v>
      </c>
      <c r="H73" s="101">
        <f t="shared" si="9"/>
        <v>0</v>
      </c>
      <c r="I73" s="102">
        <f t="shared" si="10"/>
        <v>0</v>
      </c>
      <c r="K73" s="97"/>
      <c r="L73" s="148">
        <f>Table135[[#This Row],[Total]]</f>
        <v>0</v>
      </c>
    </row>
    <row r="74" spans="3:12" ht="16" x14ac:dyDescent="0.35">
      <c r="C74" s="121"/>
      <c r="D74" s="122"/>
      <c r="E74" s="122"/>
      <c r="F74" s="136"/>
      <c r="G74" s="126" t="s">
        <v>805</v>
      </c>
      <c r="H74" s="123">
        <f>SUM(H71:H73)</f>
        <v>0</v>
      </c>
      <c r="I74" s="124">
        <f t="shared" si="10"/>
        <v>0</v>
      </c>
      <c r="K74" s="125"/>
      <c r="L74" s="123">
        <f>SUM(L71:L73)</f>
        <v>0</v>
      </c>
    </row>
    <row r="75" spans="3:12" ht="18" thickBot="1" x14ac:dyDescent="0.4">
      <c r="C75" s="118"/>
      <c r="D75" s="119"/>
      <c r="E75" s="119"/>
      <c r="F75" s="137"/>
      <c r="G75" s="119" t="s">
        <v>806</v>
      </c>
      <c r="H75" s="120">
        <f>SUM(H74)</f>
        <v>0</v>
      </c>
      <c r="I75" s="127">
        <f t="shared" si="10"/>
        <v>0</v>
      </c>
      <c r="K75" s="140"/>
      <c r="L75" s="120">
        <f>SUM(L74)</f>
        <v>0</v>
      </c>
    </row>
    <row r="76" spans="3:12" ht="17.5" x14ac:dyDescent="0.35">
      <c r="C76" s="116" t="s">
        <v>807</v>
      </c>
      <c r="D76" s="117"/>
      <c r="E76" s="117"/>
      <c r="F76" s="138"/>
      <c r="G76" s="117"/>
      <c r="H76" s="128"/>
      <c r="I76" s="129"/>
      <c r="K76" s="141"/>
      <c r="L76" s="149"/>
    </row>
    <row r="77" spans="3:12" ht="13.5" x14ac:dyDescent="0.25">
      <c r="C77" s="97" t="s">
        <v>217</v>
      </c>
      <c r="D77" s="98" t="s">
        <v>218</v>
      </c>
      <c r="E77" s="98">
        <v>1</v>
      </c>
      <c r="F77" s="135" t="s">
        <v>72</v>
      </c>
      <c r="G77" s="100">
        <v>0</v>
      </c>
      <c r="H77" s="101">
        <f t="shared" ref="H77:H83" si="11">E77*G77</f>
        <v>0</v>
      </c>
      <c r="I77" s="102">
        <f t="shared" ref="I77:I85" si="12">IF($I$4=0, 0, H77/$I$4)</f>
        <v>0</v>
      </c>
      <c r="K77" s="97"/>
      <c r="L77" s="148">
        <f>Table135[[#This Row],[Total]]</f>
        <v>0</v>
      </c>
    </row>
    <row r="78" spans="3:12" ht="13.5" x14ac:dyDescent="0.25">
      <c r="C78" s="97" t="s">
        <v>219</v>
      </c>
      <c r="D78" s="98" t="s">
        <v>220</v>
      </c>
      <c r="E78" s="98">
        <v>1</v>
      </c>
      <c r="F78" s="135" t="s">
        <v>72</v>
      </c>
      <c r="G78" s="100">
        <v>0</v>
      </c>
      <c r="H78" s="101">
        <f t="shared" si="11"/>
        <v>0</v>
      </c>
      <c r="I78" s="102">
        <f t="shared" si="12"/>
        <v>0</v>
      </c>
      <c r="K78" s="97"/>
      <c r="L78" s="148">
        <f>Table135[[#This Row],[Total]]</f>
        <v>0</v>
      </c>
    </row>
    <row r="79" spans="3:12" ht="13.5" x14ac:dyDescent="0.25">
      <c r="C79" s="97" t="s">
        <v>221</v>
      </c>
      <c r="D79" s="98" t="s">
        <v>222</v>
      </c>
      <c r="E79" s="98">
        <v>150</v>
      </c>
      <c r="F79" s="135" t="s">
        <v>25</v>
      </c>
      <c r="G79" s="100">
        <v>0</v>
      </c>
      <c r="H79" s="101">
        <f t="shared" si="11"/>
        <v>0</v>
      </c>
      <c r="I79" s="102">
        <f t="shared" si="12"/>
        <v>0</v>
      </c>
      <c r="K79" s="97"/>
      <c r="L79" s="148">
        <f>Table135[[#This Row],[Total]]</f>
        <v>0</v>
      </c>
    </row>
    <row r="80" spans="3:12" ht="13.5" x14ac:dyDescent="0.25">
      <c r="C80" s="97" t="s">
        <v>221</v>
      </c>
      <c r="D80" s="98" t="s">
        <v>223</v>
      </c>
      <c r="E80" s="98">
        <v>5</v>
      </c>
      <c r="F80" s="135" t="s">
        <v>25</v>
      </c>
      <c r="G80" s="100">
        <v>0</v>
      </c>
      <c r="H80" s="101">
        <f t="shared" si="11"/>
        <v>0</v>
      </c>
      <c r="I80" s="102">
        <f t="shared" si="12"/>
        <v>0</v>
      </c>
      <c r="K80" s="97"/>
      <c r="L80" s="148">
        <f>Table135[[#This Row],[Total]]</f>
        <v>0</v>
      </c>
    </row>
    <row r="81" spans="3:12" ht="13.5" x14ac:dyDescent="0.25">
      <c r="C81" s="97" t="s">
        <v>221</v>
      </c>
      <c r="D81" s="98" t="s">
        <v>808</v>
      </c>
      <c r="E81" s="98">
        <v>5</v>
      </c>
      <c r="F81" s="135" t="s">
        <v>25</v>
      </c>
      <c r="G81" s="100">
        <v>0</v>
      </c>
      <c r="H81" s="101">
        <f t="shared" si="11"/>
        <v>0</v>
      </c>
      <c r="I81" s="102">
        <f t="shared" si="12"/>
        <v>0</v>
      </c>
      <c r="K81" s="97"/>
      <c r="L81" s="148">
        <f>Table135[[#This Row],[Total]]</f>
        <v>0</v>
      </c>
    </row>
    <row r="82" spans="3:12" ht="13.5" x14ac:dyDescent="0.25">
      <c r="C82" s="97" t="s">
        <v>221</v>
      </c>
      <c r="D82" s="98" t="s">
        <v>224</v>
      </c>
      <c r="E82" s="98">
        <v>15</v>
      </c>
      <c r="F82" s="135" t="s">
        <v>23</v>
      </c>
      <c r="G82" s="100">
        <v>0</v>
      </c>
      <c r="H82" s="101">
        <f t="shared" si="11"/>
        <v>0</v>
      </c>
      <c r="I82" s="102">
        <f t="shared" si="12"/>
        <v>0</v>
      </c>
      <c r="K82" s="97"/>
      <c r="L82" s="148">
        <f>Table135[[#This Row],[Total]]</f>
        <v>0</v>
      </c>
    </row>
    <row r="83" spans="3:12" ht="13.5" x14ac:dyDescent="0.25">
      <c r="C83" s="97" t="s">
        <v>221</v>
      </c>
      <c r="D83" s="98" t="s">
        <v>225</v>
      </c>
      <c r="E83" s="98">
        <v>150</v>
      </c>
      <c r="F83" s="135" t="s">
        <v>25</v>
      </c>
      <c r="G83" s="100">
        <v>0</v>
      </c>
      <c r="H83" s="101">
        <f t="shared" si="11"/>
        <v>0</v>
      </c>
      <c r="I83" s="102">
        <f t="shared" si="12"/>
        <v>0</v>
      </c>
      <c r="K83" s="97"/>
      <c r="L83" s="148">
        <f>Table135[[#This Row],[Total]]</f>
        <v>0</v>
      </c>
    </row>
    <row r="84" spans="3:12" ht="16" x14ac:dyDescent="0.35">
      <c r="C84" s="121"/>
      <c r="D84" s="122"/>
      <c r="E84" s="122"/>
      <c r="F84" s="136"/>
      <c r="G84" s="126" t="s">
        <v>809</v>
      </c>
      <c r="H84" s="123">
        <f>SUM(H77:H83)</f>
        <v>0</v>
      </c>
      <c r="I84" s="124">
        <f t="shared" si="12"/>
        <v>0</v>
      </c>
      <c r="K84" s="125"/>
      <c r="L84" s="123">
        <f>SUM(L77:L83)</f>
        <v>0</v>
      </c>
    </row>
    <row r="85" spans="3:12" ht="18" thickBot="1" x14ac:dyDescent="0.4">
      <c r="C85" s="118"/>
      <c r="D85" s="119"/>
      <c r="E85" s="119"/>
      <c r="F85" s="137"/>
      <c r="G85" s="119" t="s">
        <v>810</v>
      </c>
      <c r="H85" s="120">
        <f>SUM(H84)</f>
        <v>0</v>
      </c>
      <c r="I85" s="127">
        <f t="shared" si="12"/>
        <v>0</v>
      </c>
      <c r="K85" s="140"/>
      <c r="L85" s="120">
        <f>SUM(L84)</f>
        <v>0</v>
      </c>
    </row>
    <row r="86" spans="3:12" ht="17.5" x14ac:dyDescent="0.35">
      <c r="C86" s="116" t="s">
        <v>811</v>
      </c>
      <c r="D86" s="117"/>
      <c r="E86" s="117"/>
      <c r="F86" s="138"/>
      <c r="G86" s="117"/>
      <c r="H86" s="128"/>
      <c r="I86" s="129"/>
      <c r="K86" s="141"/>
      <c r="L86" s="149"/>
    </row>
    <row r="87" spans="3:12" ht="13.5" x14ac:dyDescent="0.25">
      <c r="C87" s="97" t="s">
        <v>37</v>
      </c>
      <c r="D87" s="98" t="s">
        <v>812</v>
      </c>
      <c r="E87" s="98">
        <v>300000</v>
      </c>
      <c r="F87" s="135" t="s">
        <v>27</v>
      </c>
      <c r="G87" s="100">
        <v>0</v>
      </c>
      <c r="H87" s="101">
        <f t="shared" ref="H87:H91" si="13">E87*G87</f>
        <v>0</v>
      </c>
      <c r="I87" s="102">
        <f t="shared" ref="I87:I103" si="14">IF($I$4=0, 0, H87/$I$4)</f>
        <v>0</v>
      </c>
      <c r="K87" s="97"/>
      <c r="L87" s="148">
        <f>Table135[[#This Row],[Total]]</f>
        <v>0</v>
      </c>
    </row>
    <row r="88" spans="3:12" ht="13.5" x14ac:dyDescent="0.25">
      <c r="C88" s="97" t="s">
        <v>226</v>
      </c>
      <c r="D88" s="98" t="s">
        <v>227</v>
      </c>
      <c r="E88" s="98">
        <v>1</v>
      </c>
      <c r="F88" s="135" t="s">
        <v>72</v>
      </c>
      <c r="G88" s="100">
        <v>0</v>
      </c>
      <c r="H88" s="101">
        <f t="shared" si="13"/>
        <v>0</v>
      </c>
      <c r="I88" s="102">
        <f t="shared" si="14"/>
        <v>0</v>
      </c>
      <c r="K88" s="97"/>
      <c r="L88" s="148">
        <f>Table135[[#This Row],[Total]]</f>
        <v>0</v>
      </c>
    </row>
    <row r="89" spans="3:12" ht="13.5" x14ac:dyDescent="0.25">
      <c r="C89" s="97" t="s">
        <v>228</v>
      </c>
      <c r="D89" s="98" t="s">
        <v>229</v>
      </c>
      <c r="E89" s="98">
        <v>1</v>
      </c>
      <c r="F89" s="135" t="s">
        <v>72</v>
      </c>
      <c r="G89" s="100">
        <v>0</v>
      </c>
      <c r="H89" s="101">
        <f t="shared" si="13"/>
        <v>0</v>
      </c>
      <c r="I89" s="102">
        <f t="shared" si="14"/>
        <v>0</v>
      </c>
      <c r="K89" s="97"/>
      <c r="L89" s="148">
        <f>Table135[[#This Row],[Total]]</f>
        <v>0</v>
      </c>
    </row>
    <row r="90" spans="3:12" ht="13.5" x14ac:dyDescent="0.25">
      <c r="C90" s="97" t="s">
        <v>230</v>
      </c>
      <c r="D90" s="98" t="s">
        <v>231</v>
      </c>
      <c r="E90" s="98">
        <v>1</v>
      </c>
      <c r="F90" s="135" t="s">
        <v>72</v>
      </c>
      <c r="G90" s="100">
        <v>0</v>
      </c>
      <c r="H90" s="101">
        <f t="shared" si="13"/>
        <v>0</v>
      </c>
      <c r="I90" s="102">
        <f t="shared" si="14"/>
        <v>0</v>
      </c>
      <c r="K90" s="97"/>
      <c r="L90" s="148">
        <f>Table135[[#This Row],[Total]]</f>
        <v>0</v>
      </c>
    </row>
    <row r="91" spans="3:12" ht="13.5" x14ac:dyDescent="0.25">
      <c r="C91" s="97" t="s">
        <v>232</v>
      </c>
      <c r="D91" s="98" t="s">
        <v>233</v>
      </c>
      <c r="E91" s="98">
        <v>0</v>
      </c>
      <c r="F91" s="135" t="s">
        <v>72</v>
      </c>
      <c r="G91" s="100">
        <v>0</v>
      </c>
      <c r="H91" s="101">
        <f t="shared" si="13"/>
        <v>0</v>
      </c>
      <c r="I91" s="102">
        <f t="shared" si="14"/>
        <v>0</v>
      </c>
      <c r="K91" s="97"/>
      <c r="L91" s="148">
        <f>Table135[[#This Row],[Total]]</f>
        <v>0</v>
      </c>
    </row>
    <row r="92" spans="3:12" ht="16" x14ac:dyDescent="0.35">
      <c r="C92" s="121"/>
      <c r="D92" s="122"/>
      <c r="E92" s="122"/>
      <c r="F92" s="136"/>
      <c r="G92" s="126" t="s">
        <v>813</v>
      </c>
      <c r="H92" s="123">
        <f>SUM(H87:H91)</f>
        <v>0</v>
      </c>
      <c r="I92" s="124">
        <f t="shared" si="14"/>
        <v>0</v>
      </c>
      <c r="K92" s="125"/>
      <c r="L92" s="123">
        <f>SUM(L87:L91)</f>
        <v>0</v>
      </c>
    </row>
    <row r="93" spans="3:12" ht="13.5" x14ac:dyDescent="0.25">
      <c r="C93" s="97" t="s">
        <v>234</v>
      </c>
      <c r="D93" s="98" t="s">
        <v>814</v>
      </c>
      <c r="E93" s="98">
        <v>100</v>
      </c>
      <c r="F93" s="135" t="s">
        <v>25</v>
      </c>
      <c r="G93" s="100">
        <v>0</v>
      </c>
      <c r="H93" s="101">
        <f t="shared" ref="H93:H98" si="15">E93*G93</f>
        <v>0</v>
      </c>
      <c r="I93" s="102">
        <f t="shared" si="14"/>
        <v>0</v>
      </c>
      <c r="K93" s="97"/>
      <c r="L93" s="148">
        <f>Table135[[#This Row],[Total]]</f>
        <v>0</v>
      </c>
    </row>
    <row r="94" spans="3:12" ht="13.5" x14ac:dyDescent="0.25">
      <c r="C94" s="97" t="s">
        <v>236</v>
      </c>
      <c r="D94" s="98" t="s">
        <v>237</v>
      </c>
      <c r="E94" s="98">
        <v>100</v>
      </c>
      <c r="F94" s="135" t="s">
        <v>25</v>
      </c>
      <c r="G94" s="100">
        <v>0</v>
      </c>
      <c r="H94" s="101">
        <f t="shared" si="15"/>
        <v>0</v>
      </c>
      <c r="I94" s="102">
        <f t="shared" si="14"/>
        <v>0</v>
      </c>
      <c r="K94" s="97"/>
      <c r="L94" s="148">
        <f>Table135[[#This Row],[Total]]</f>
        <v>0</v>
      </c>
    </row>
    <row r="95" spans="3:12" ht="13.5" x14ac:dyDescent="0.25">
      <c r="C95" s="97" t="s">
        <v>238</v>
      </c>
      <c r="D95" s="98" t="s">
        <v>815</v>
      </c>
      <c r="E95" s="98">
        <v>1</v>
      </c>
      <c r="F95" s="135" t="s">
        <v>72</v>
      </c>
      <c r="G95" s="100">
        <v>0</v>
      </c>
      <c r="H95" s="101">
        <f t="shared" si="15"/>
        <v>0</v>
      </c>
      <c r="I95" s="102">
        <f t="shared" si="14"/>
        <v>0</v>
      </c>
      <c r="K95" s="97"/>
      <c r="L95" s="148">
        <f>Table135[[#This Row],[Total]]</f>
        <v>0</v>
      </c>
    </row>
    <row r="96" spans="3:12" ht="13.5" x14ac:dyDescent="0.25">
      <c r="C96" s="97" t="s">
        <v>239</v>
      </c>
      <c r="D96" s="98" t="s">
        <v>240</v>
      </c>
      <c r="E96" s="98">
        <v>0</v>
      </c>
      <c r="F96" s="135" t="s">
        <v>72</v>
      </c>
      <c r="G96" s="100">
        <v>0</v>
      </c>
      <c r="H96" s="101">
        <f t="shared" si="15"/>
        <v>0</v>
      </c>
      <c r="I96" s="102">
        <f t="shared" si="14"/>
        <v>0</v>
      </c>
      <c r="K96" s="97"/>
      <c r="L96" s="148">
        <f>Table135[[#This Row],[Total]]</f>
        <v>0</v>
      </c>
    </row>
    <row r="97" spans="3:12" ht="13.5" x14ac:dyDescent="0.25">
      <c r="C97" s="97" t="s">
        <v>241</v>
      </c>
      <c r="D97" s="98" t="s">
        <v>242</v>
      </c>
      <c r="E97" s="98">
        <v>1</v>
      </c>
      <c r="F97" s="135" t="s">
        <v>72</v>
      </c>
      <c r="G97" s="100">
        <v>0</v>
      </c>
      <c r="H97" s="101">
        <f t="shared" si="15"/>
        <v>0</v>
      </c>
      <c r="I97" s="102">
        <f t="shared" si="14"/>
        <v>0</v>
      </c>
      <c r="K97" s="97"/>
      <c r="L97" s="148">
        <f>Table135[[#This Row],[Total]]</f>
        <v>0</v>
      </c>
    </row>
    <row r="98" spans="3:12" ht="13.5" x14ac:dyDescent="0.25">
      <c r="C98" s="97" t="s">
        <v>243</v>
      </c>
      <c r="D98" s="98" t="s">
        <v>816</v>
      </c>
      <c r="E98" s="98">
        <v>0</v>
      </c>
      <c r="F98" s="135" t="s">
        <v>72</v>
      </c>
      <c r="G98" s="100">
        <v>0</v>
      </c>
      <c r="H98" s="101">
        <f t="shared" si="15"/>
        <v>0</v>
      </c>
      <c r="I98" s="102">
        <f t="shared" si="14"/>
        <v>0</v>
      </c>
      <c r="K98" s="97"/>
      <c r="L98" s="148">
        <f>Table135[[#This Row],[Total]]</f>
        <v>0</v>
      </c>
    </row>
    <row r="99" spans="3:12" ht="16" x14ac:dyDescent="0.35">
      <c r="C99" s="121"/>
      <c r="D99" s="122"/>
      <c r="E99" s="122"/>
      <c r="F99" s="136"/>
      <c r="G99" s="126" t="s">
        <v>817</v>
      </c>
      <c r="H99" s="123">
        <f>SUM(H93:H98)</f>
        <v>0</v>
      </c>
      <c r="I99" s="124">
        <f t="shared" si="14"/>
        <v>0</v>
      </c>
      <c r="K99" s="125"/>
      <c r="L99" s="123">
        <f>SUM(L93:L98)</f>
        <v>0</v>
      </c>
    </row>
    <row r="100" spans="3:12" ht="13.5" x14ac:dyDescent="0.25">
      <c r="C100" s="97" t="s">
        <v>245</v>
      </c>
      <c r="D100" s="98" t="s">
        <v>246</v>
      </c>
      <c r="E100" s="98">
        <v>1</v>
      </c>
      <c r="F100" s="135" t="s">
        <v>25</v>
      </c>
      <c r="G100" s="100">
        <v>0</v>
      </c>
      <c r="H100" s="101">
        <f t="shared" ref="H100:H101" si="16">E100*G100</f>
        <v>0</v>
      </c>
      <c r="I100" s="102">
        <f t="shared" si="14"/>
        <v>0</v>
      </c>
      <c r="K100" s="97"/>
      <c r="L100" s="148">
        <f>Table135[[#This Row],[Total]]</f>
        <v>0</v>
      </c>
    </row>
    <row r="101" spans="3:12" ht="13.5" x14ac:dyDescent="0.25">
      <c r="C101" s="97" t="s">
        <v>247</v>
      </c>
      <c r="D101" s="98" t="s">
        <v>248</v>
      </c>
      <c r="E101" s="98">
        <v>1</v>
      </c>
      <c r="F101" s="135" t="s">
        <v>72</v>
      </c>
      <c r="G101" s="100">
        <v>0</v>
      </c>
      <c r="H101" s="101">
        <f t="shared" si="16"/>
        <v>0</v>
      </c>
      <c r="I101" s="102">
        <f t="shared" si="14"/>
        <v>0</v>
      </c>
      <c r="K101" s="97"/>
      <c r="L101" s="148">
        <f>Table135[[#This Row],[Total]]</f>
        <v>0</v>
      </c>
    </row>
    <row r="102" spans="3:12" ht="16" x14ac:dyDescent="0.35">
      <c r="C102" s="121"/>
      <c r="D102" s="122"/>
      <c r="E102" s="122"/>
      <c r="F102" s="136"/>
      <c r="G102" s="126" t="s">
        <v>818</v>
      </c>
      <c r="H102" s="123">
        <f>SUM(H100:H101)</f>
        <v>0</v>
      </c>
      <c r="I102" s="124">
        <f t="shared" si="14"/>
        <v>0</v>
      </c>
      <c r="K102" s="125"/>
      <c r="L102" s="123">
        <f>SUM(L100:L101)</f>
        <v>0</v>
      </c>
    </row>
    <row r="103" spans="3:12" ht="18" thickBot="1" x14ac:dyDescent="0.4">
      <c r="C103" s="118"/>
      <c r="D103" s="119"/>
      <c r="E103" s="119"/>
      <c r="F103" s="137"/>
      <c r="G103" s="119" t="s">
        <v>819</v>
      </c>
      <c r="H103" s="120">
        <f>SUM(H92,H99,H102)</f>
        <v>0</v>
      </c>
      <c r="I103" s="127">
        <f t="shared" si="14"/>
        <v>0</v>
      </c>
      <c r="K103" s="140"/>
      <c r="L103" s="120">
        <f>SUM(L92,L99,L102)</f>
        <v>0</v>
      </c>
    </row>
    <row r="104" spans="3:12" ht="17.5" x14ac:dyDescent="0.35">
      <c r="C104" s="116" t="s">
        <v>820</v>
      </c>
      <c r="D104" s="117"/>
      <c r="E104" s="117"/>
      <c r="F104" s="138"/>
      <c r="G104" s="117"/>
      <c r="H104" s="128"/>
      <c r="I104" s="129"/>
      <c r="K104" s="141"/>
      <c r="L104" s="149"/>
    </row>
    <row r="105" spans="3:12" ht="13.5" x14ac:dyDescent="0.25">
      <c r="C105" s="97" t="s">
        <v>38</v>
      </c>
      <c r="D105" s="98" t="s">
        <v>39</v>
      </c>
      <c r="E105" s="98">
        <v>18000</v>
      </c>
      <c r="F105" s="135" t="s">
        <v>27</v>
      </c>
      <c r="G105" s="100">
        <v>0</v>
      </c>
      <c r="H105" s="101">
        <f t="shared" ref="H105:H112" si="17">E105*G105</f>
        <v>0</v>
      </c>
      <c r="I105" s="102">
        <f t="shared" ref="I105:I134" si="18">IF($I$4=0, 0, H105/$I$4)</f>
        <v>0</v>
      </c>
      <c r="K105" s="97"/>
      <c r="L105" s="148">
        <f>Table135[[#This Row],[Total]]</f>
        <v>0</v>
      </c>
    </row>
    <row r="106" spans="3:12" ht="13.5" x14ac:dyDescent="0.25">
      <c r="C106" s="97" t="s">
        <v>38</v>
      </c>
      <c r="D106" s="98" t="s">
        <v>249</v>
      </c>
      <c r="E106" s="98">
        <v>2</v>
      </c>
      <c r="F106" s="135" t="s">
        <v>72</v>
      </c>
      <c r="G106" s="100">
        <v>0</v>
      </c>
      <c r="H106" s="101">
        <f t="shared" si="17"/>
        <v>0</v>
      </c>
      <c r="I106" s="102">
        <f t="shared" si="18"/>
        <v>0</v>
      </c>
      <c r="K106" s="97"/>
      <c r="L106" s="148">
        <f>Table135[[#This Row],[Total]]</f>
        <v>0</v>
      </c>
    </row>
    <row r="107" spans="3:12" ht="13.5" x14ac:dyDescent="0.25">
      <c r="C107" s="97" t="s">
        <v>40</v>
      </c>
      <c r="D107" s="98" t="s">
        <v>41</v>
      </c>
      <c r="E107" s="98">
        <v>15000</v>
      </c>
      <c r="F107" s="135" t="s">
        <v>27</v>
      </c>
      <c r="G107" s="100">
        <v>0</v>
      </c>
      <c r="H107" s="101">
        <f t="shared" si="17"/>
        <v>0</v>
      </c>
      <c r="I107" s="102">
        <f t="shared" si="18"/>
        <v>0</v>
      </c>
      <c r="K107" s="97"/>
      <c r="L107" s="148">
        <f>Table135[[#This Row],[Total]]</f>
        <v>0</v>
      </c>
    </row>
    <row r="108" spans="3:12" ht="13.5" x14ac:dyDescent="0.25">
      <c r="C108" s="97" t="s">
        <v>40</v>
      </c>
      <c r="D108" s="98" t="s">
        <v>821</v>
      </c>
      <c r="E108" s="98">
        <v>15000</v>
      </c>
      <c r="F108" s="135" t="s">
        <v>27</v>
      </c>
      <c r="G108" s="100">
        <v>0</v>
      </c>
      <c r="H108" s="101">
        <f t="shared" si="17"/>
        <v>0</v>
      </c>
      <c r="I108" s="102">
        <f t="shared" si="18"/>
        <v>0</v>
      </c>
      <c r="K108" s="97"/>
      <c r="L108" s="148">
        <f>Table135[[#This Row],[Total]]</f>
        <v>0</v>
      </c>
    </row>
    <row r="109" spans="3:12" ht="13.5" x14ac:dyDescent="0.25">
      <c r="C109" s="97" t="s">
        <v>40</v>
      </c>
      <c r="D109" s="98" t="s">
        <v>250</v>
      </c>
      <c r="E109" s="98">
        <v>160</v>
      </c>
      <c r="F109" s="135" t="s">
        <v>27</v>
      </c>
      <c r="G109" s="100">
        <v>0</v>
      </c>
      <c r="H109" s="101">
        <f t="shared" si="17"/>
        <v>0</v>
      </c>
      <c r="I109" s="102">
        <f t="shared" si="18"/>
        <v>0</v>
      </c>
      <c r="K109" s="97"/>
      <c r="L109" s="148">
        <f>Table135[[#This Row],[Total]]</f>
        <v>0</v>
      </c>
    </row>
    <row r="110" spans="3:12" ht="13.5" x14ac:dyDescent="0.25">
      <c r="C110" s="97" t="s">
        <v>40</v>
      </c>
      <c r="D110" s="98" t="s">
        <v>251</v>
      </c>
      <c r="E110" s="98">
        <v>511</v>
      </c>
      <c r="F110" s="135" t="s">
        <v>27</v>
      </c>
      <c r="G110" s="100">
        <v>0</v>
      </c>
      <c r="H110" s="101">
        <f t="shared" si="17"/>
        <v>0</v>
      </c>
      <c r="I110" s="102">
        <f t="shared" si="18"/>
        <v>0</v>
      </c>
      <c r="K110" s="97"/>
      <c r="L110" s="148">
        <f>Table135[[#This Row],[Total]]</f>
        <v>0</v>
      </c>
    </row>
    <row r="111" spans="3:12" ht="13.5" x14ac:dyDescent="0.25">
      <c r="C111" s="97" t="s">
        <v>40</v>
      </c>
      <c r="D111" s="98" t="s">
        <v>822</v>
      </c>
      <c r="E111" s="98">
        <v>798</v>
      </c>
      <c r="F111" s="135" t="s">
        <v>27</v>
      </c>
      <c r="G111" s="100">
        <v>0</v>
      </c>
      <c r="H111" s="101">
        <f t="shared" si="17"/>
        <v>0</v>
      </c>
      <c r="I111" s="102">
        <f t="shared" si="18"/>
        <v>0</v>
      </c>
      <c r="K111" s="97"/>
      <c r="L111" s="148">
        <f>Table135[[#This Row],[Total]]</f>
        <v>0</v>
      </c>
    </row>
    <row r="112" spans="3:12" ht="13.5" x14ac:dyDescent="0.25">
      <c r="C112" s="97" t="s">
        <v>252</v>
      </c>
      <c r="D112" s="98" t="s">
        <v>253</v>
      </c>
      <c r="E112" s="98">
        <v>1000</v>
      </c>
      <c r="F112" s="135" t="s">
        <v>27</v>
      </c>
      <c r="G112" s="100">
        <v>0</v>
      </c>
      <c r="H112" s="101">
        <f t="shared" si="17"/>
        <v>0</v>
      </c>
      <c r="I112" s="102">
        <f t="shared" si="18"/>
        <v>0</v>
      </c>
      <c r="K112" s="97"/>
      <c r="L112" s="148">
        <f>Table135[[#This Row],[Total]]</f>
        <v>0</v>
      </c>
    </row>
    <row r="113" spans="3:12" ht="16" x14ac:dyDescent="0.35">
      <c r="C113" s="121"/>
      <c r="D113" s="122"/>
      <c r="E113" s="122"/>
      <c r="F113" s="136"/>
      <c r="G113" s="126" t="s">
        <v>823</v>
      </c>
      <c r="H113" s="123">
        <f>SUM(H105:H112)</f>
        <v>0</v>
      </c>
      <c r="I113" s="124">
        <f t="shared" si="18"/>
        <v>0</v>
      </c>
      <c r="K113" s="125"/>
      <c r="L113" s="123">
        <f>SUM(L105:L112)</f>
        <v>0</v>
      </c>
    </row>
    <row r="114" spans="3:12" ht="13.5" x14ac:dyDescent="0.25">
      <c r="C114" s="97" t="s">
        <v>254</v>
      </c>
      <c r="D114" s="98" t="s">
        <v>255</v>
      </c>
      <c r="E114" s="98">
        <v>100</v>
      </c>
      <c r="F114" s="135" t="s">
        <v>25</v>
      </c>
      <c r="G114" s="100">
        <v>0</v>
      </c>
      <c r="H114" s="101">
        <f t="shared" ref="H114:H117" si="19">E114*G114</f>
        <v>0</v>
      </c>
      <c r="I114" s="102">
        <f t="shared" si="18"/>
        <v>0</v>
      </c>
      <c r="K114" s="97"/>
      <c r="L114" s="148">
        <f>Table135[[#This Row],[Total]]</f>
        <v>0</v>
      </c>
    </row>
    <row r="115" spans="3:12" ht="13.5" x14ac:dyDescent="0.25">
      <c r="C115" s="97" t="s">
        <v>46</v>
      </c>
      <c r="D115" s="98" t="s">
        <v>256</v>
      </c>
      <c r="E115" s="98">
        <v>0</v>
      </c>
      <c r="F115" s="135" t="s">
        <v>27</v>
      </c>
      <c r="G115" s="100">
        <v>0</v>
      </c>
      <c r="H115" s="101">
        <f t="shared" si="19"/>
        <v>0</v>
      </c>
      <c r="I115" s="102">
        <f t="shared" si="18"/>
        <v>0</v>
      </c>
      <c r="K115" s="97"/>
      <c r="L115" s="148">
        <f>Table135[[#This Row],[Total]]</f>
        <v>0</v>
      </c>
    </row>
    <row r="116" spans="3:12" ht="13.5" x14ac:dyDescent="0.25">
      <c r="C116" s="97" t="s">
        <v>42</v>
      </c>
      <c r="D116" s="98" t="s">
        <v>43</v>
      </c>
      <c r="E116" s="98">
        <v>75000</v>
      </c>
      <c r="F116" s="135" t="s">
        <v>27</v>
      </c>
      <c r="G116" s="100">
        <v>0</v>
      </c>
      <c r="H116" s="101">
        <f t="shared" si="19"/>
        <v>0</v>
      </c>
      <c r="I116" s="102">
        <f t="shared" si="18"/>
        <v>0</v>
      </c>
      <c r="K116" s="97"/>
      <c r="L116" s="148">
        <f>Table135[[#This Row],[Total]]</f>
        <v>0</v>
      </c>
    </row>
    <row r="117" spans="3:12" ht="13.5" x14ac:dyDescent="0.25">
      <c r="C117" s="97" t="s">
        <v>257</v>
      </c>
      <c r="D117" s="98" t="s">
        <v>258</v>
      </c>
      <c r="E117" s="98">
        <v>1</v>
      </c>
      <c r="F117" s="135" t="s">
        <v>72</v>
      </c>
      <c r="G117" s="100">
        <v>0</v>
      </c>
      <c r="H117" s="101">
        <f t="shared" si="19"/>
        <v>0</v>
      </c>
      <c r="I117" s="102">
        <f t="shared" si="18"/>
        <v>0</v>
      </c>
      <c r="K117" s="97"/>
      <c r="L117" s="148">
        <f>Table135[[#This Row],[Total]]</f>
        <v>0</v>
      </c>
    </row>
    <row r="118" spans="3:12" ht="16" x14ac:dyDescent="0.35">
      <c r="C118" s="121"/>
      <c r="D118" s="122"/>
      <c r="E118" s="122"/>
      <c r="F118" s="136"/>
      <c r="G118" s="126" t="s">
        <v>824</v>
      </c>
      <c r="H118" s="123">
        <f>SUM(H114:H117)</f>
        <v>0</v>
      </c>
      <c r="I118" s="124">
        <f t="shared" si="18"/>
        <v>0</v>
      </c>
      <c r="K118" s="125"/>
      <c r="L118" s="123">
        <f>SUM(L114:L117)</f>
        <v>0</v>
      </c>
    </row>
    <row r="119" spans="3:12" ht="13.5" x14ac:dyDescent="0.25">
      <c r="C119" s="97" t="s">
        <v>48</v>
      </c>
      <c r="D119" s="98" t="s">
        <v>49</v>
      </c>
      <c r="E119" s="98">
        <v>0</v>
      </c>
      <c r="F119" s="135" t="s">
        <v>72</v>
      </c>
      <c r="G119" s="100">
        <v>0</v>
      </c>
      <c r="H119" s="101">
        <f t="shared" ref="H119:H120" si="20">E119*G119</f>
        <v>0</v>
      </c>
      <c r="I119" s="102">
        <f t="shared" si="18"/>
        <v>0</v>
      </c>
      <c r="K119" s="97"/>
      <c r="L119" s="148">
        <f>Table135[[#This Row],[Total]]</f>
        <v>0</v>
      </c>
    </row>
    <row r="120" spans="3:12" ht="13.5" x14ac:dyDescent="0.25">
      <c r="C120" s="97" t="s">
        <v>48</v>
      </c>
      <c r="D120" s="98" t="s">
        <v>259</v>
      </c>
      <c r="E120" s="98">
        <v>0</v>
      </c>
      <c r="F120" s="135" t="s">
        <v>72</v>
      </c>
      <c r="G120" s="100">
        <v>0</v>
      </c>
      <c r="H120" s="101">
        <f t="shared" si="20"/>
        <v>0</v>
      </c>
      <c r="I120" s="102">
        <f t="shared" si="18"/>
        <v>0</v>
      </c>
      <c r="K120" s="97"/>
      <c r="L120" s="148">
        <f>Table135[[#This Row],[Total]]</f>
        <v>0</v>
      </c>
    </row>
    <row r="121" spans="3:12" ht="16" x14ac:dyDescent="0.35">
      <c r="C121" s="121"/>
      <c r="D121" s="122"/>
      <c r="E121" s="122"/>
      <c r="F121" s="136"/>
      <c r="G121" s="126" t="s">
        <v>825</v>
      </c>
      <c r="H121" s="123">
        <f>SUM(H119:H120)</f>
        <v>0</v>
      </c>
      <c r="I121" s="124">
        <f t="shared" si="18"/>
        <v>0</v>
      </c>
      <c r="K121" s="125"/>
      <c r="L121" s="123">
        <f>SUM(L119:L120)</f>
        <v>0</v>
      </c>
    </row>
    <row r="122" spans="3:12" ht="13.5" x14ac:dyDescent="0.25">
      <c r="C122" s="97" t="s">
        <v>50</v>
      </c>
      <c r="D122" s="98" t="s">
        <v>51</v>
      </c>
      <c r="E122" s="98">
        <v>0</v>
      </c>
      <c r="F122" s="135" t="s">
        <v>27</v>
      </c>
      <c r="G122" s="100">
        <v>0</v>
      </c>
      <c r="H122" s="101">
        <f t="shared" ref="H122:H123" si="21">E122*G122</f>
        <v>0</v>
      </c>
      <c r="I122" s="102">
        <f t="shared" si="18"/>
        <v>0</v>
      </c>
      <c r="K122" s="97"/>
      <c r="L122" s="148">
        <f>Table135[[#This Row],[Total]]</f>
        <v>0</v>
      </c>
    </row>
    <row r="123" spans="3:12" ht="13.5" x14ac:dyDescent="0.25">
      <c r="C123" s="97" t="s">
        <v>52</v>
      </c>
      <c r="D123" s="98" t="s">
        <v>53</v>
      </c>
      <c r="E123" s="98">
        <v>52920</v>
      </c>
      <c r="F123" s="135" t="s">
        <v>27</v>
      </c>
      <c r="G123" s="100">
        <v>0</v>
      </c>
      <c r="H123" s="101">
        <f t="shared" si="21"/>
        <v>0</v>
      </c>
      <c r="I123" s="102">
        <f t="shared" si="18"/>
        <v>0</v>
      </c>
      <c r="K123" s="97"/>
      <c r="L123" s="148">
        <f>Table135[[#This Row],[Total]]</f>
        <v>0</v>
      </c>
    </row>
    <row r="124" spans="3:12" ht="16" x14ac:dyDescent="0.35">
      <c r="C124" s="121"/>
      <c r="D124" s="122"/>
      <c r="E124" s="122"/>
      <c r="F124" s="136"/>
      <c r="G124" s="126" t="s">
        <v>826</v>
      </c>
      <c r="H124" s="123">
        <f>SUM(H122:H123)</f>
        <v>0</v>
      </c>
      <c r="I124" s="124">
        <f t="shared" si="18"/>
        <v>0</v>
      </c>
      <c r="K124" s="125"/>
      <c r="L124" s="123">
        <f>SUM(L122:L123)</f>
        <v>0</v>
      </c>
    </row>
    <row r="125" spans="3:12" ht="13.5" x14ac:dyDescent="0.25">
      <c r="C125" s="97" t="s">
        <v>54</v>
      </c>
      <c r="D125" s="98" t="s">
        <v>55</v>
      </c>
      <c r="E125" s="98">
        <v>60000</v>
      </c>
      <c r="F125" s="135" t="s">
        <v>27</v>
      </c>
      <c r="G125" s="100">
        <v>0</v>
      </c>
      <c r="H125" s="101">
        <f t="shared" ref="H125:H127" si="22">E125*G125</f>
        <v>0</v>
      </c>
      <c r="I125" s="102">
        <f t="shared" si="18"/>
        <v>0</v>
      </c>
      <c r="K125" s="97"/>
      <c r="L125" s="148">
        <f>Table135[[#This Row],[Total]]</f>
        <v>0</v>
      </c>
    </row>
    <row r="126" spans="3:12" ht="13.5" x14ac:dyDescent="0.25">
      <c r="C126" s="97" t="s">
        <v>261</v>
      </c>
      <c r="D126" s="98" t="s">
        <v>262</v>
      </c>
      <c r="E126" s="98">
        <v>1</v>
      </c>
      <c r="F126" s="135" t="s">
        <v>72</v>
      </c>
      <c r="G126" s="100">
        <v>0</v>
      </c>
      <c r="H126" s="101">
        <f t="shared" si="22"/>
        <v>0</v>
      </c>
      <c r="I126" s="102">
        <f t="shared" si="18"/>
        <v>0</v>
      </c>
      <c r="K126" s="97"/>
      <c r="L126" s="148">
        <f>Table135[[#This Row],[Total]]</f>
        <v>0</v>
      </c>
    </row>
    <row r="127" spans="3:12" ht="13.5" x14ac:dyDescent="0.25">
      <c r="C127" s="97" t="s">
        <v>263</v>
      </c>
      <c r="D127" s="98" t="s">
        <v>264</v>
      </c>
      <c r="E127" s="98">
        <v>0</v>
      </c>
      <c r="F127" s="135" t="s">
        <v>27</v>
      </c>
      <c r="G127" s="100">
        <v>0</v>
      </c>
      <c r="H127" s="101">
        <f t="shared" si="22"/>
        <v>0</v>
      </c>
      <c r="I127" s="102">
        <f t="shared" si="18"/>
        <v>0</v>
      </c>
      <c r="K127" s="97"/>
      <c r="L127" s="148">
        <f>Table135[[#This Row],[Total]]</f>
        <v>0</v>
      </c>
    </row>
    <row r="128" spans="3:12" ht="16" x14ac:dyDescent="0.35">
      <c r="C128" s="121"/>
      <c r="D128" s="122"/>
      <c r="E128" s="122"/>
      <c r="F128" s="136"/>
      <c r="G128" s="126" t="s">
        <v>827</v>
      </c>
      <c r="H128" s="123">
        <f>SUM(H125:H127)</f>
        <v>0</v>
      </c>
      <c r="I128" s="124">
        <f t="shared" si="18"/>
        <v>0</v>
      </c>
      <c r="K128" s="125"/>
      <c r="L128" s="123">
        <f>SUM(L125:L127)</f>
        <v>0</v>
      </c>
    </row>
    <row r="129" spans="3:12" ht="13.5" x14ac:dyDescent="0.25">
      <c r="C129" s="97" t="s">
        <v>265</v>
      </c>
      <c r="D129" s="98" t="s">
        <v>266</v>
      </c>
      <c r="E129" s="98">
        <v>1</v>
      </c>
      <c r="F129" s="135" t="s">
        <v>72</v>
      </c>
      <c r="G129" s="100">
        <v>0</v>
      </c>
      <c r="H129" s="101">
        <f t="shared" ref="H129:H132" si="23">E129*G129</f>
        <v>0</v>
      </c>
      <c r="I129" s="102">
        <f t="shared" si="18"/>
        <v>0</v>
      </c>
      <c r="K129" s="97"/>
      <c r="L129" s="148">
        <f>Table135[[#This Row],[Total]]</f>
        <v>0</v>
      </c>
    </row>
    <row r="130" spans="3:12" ht="13.5" x14ac:dyDescent="0.25">
      <c r="C130" s="97" t="s">
        <v>267</v>
      </c>
      <c r="D130" s="98" t="s">
        <v>268</v>
      </c>
      <c r="E130" s="98">
        <v>0</v>
      </c>
      <c r="F130" s="135" t="s">
        <v>25</v>
      </c>
      <c r="G130" s="100">
        <v>0</v>
      </c>
      <c r="H130" s="101">
        <f t="shared" si="23"/>
        <v>0</v>
      </c>
      <c r="I130" s="102">
        <f t="shared" si="18"/>
        <v>0</v>
      </c>
      <c r="K130" s="97"/>
      <c r="L130" s="148">
        <f>Table135[[#This Row],[Total]]</f>
        <v>0</v>
      </c>
    </row>
    <row r="131" spans="3:12" ht="13.5" x14ac:dyDescent="0.25">
      <c r="C131" s="97" t="s">
        <v>269</v>
      </c>
      <c r="D131" s="98" t="s">
        <v>270</v>
      </c>
      <c r="E131" s="98">
        <v>100</v>
      </c>
      <c r="F131" s="135" t="s">
        <v>25</v>
      </c>
      <c r="G131" s="100">
        <v>0</v>
      </c>
      <c r="H131" s="101">
        <f t="shared" si="23"/>
        <v>0</v>
      </c>
      <c r="I131" s="102">
        <f t="shared" si="18"/>
        <v>0</v>
      </c>
      <c r="K131" s="97"/>
      <c r="L131" s="148">
        <f>Table135[[#This Row],[Total]]</f>
        <v>0</v>
      </c>
    </row>
    <row r="132" spans="3:12" ht="13.5" x14ac:dyDescent="0.25">
      <c r="C132" s="97" t="s">
        <v>271</v>
      </c>
      <c r="D132" s="98" t="s">
        <v>272</v>
      </c>
      <c r="E132" s="98">
        <v>0</v>
      </c>
      <c r="F132" s="135" t="s">
        <v>25</v>
      </c>
      <c r="G132" s="100">
        <v>0</v>
      </c>
      <c r="H132" s="101">
        <f t="shared" si="23"/>
        <v>0</v>
      </c>
      <c r="I132" s="102">
        <f t="shared" si="18"/>
        <v>0</v>
      </c>
      <c r="K132" s="97"/>
      <c r="L132" s="148">
        <f>Table135[[#This Row],[Total]]</f>
        <v>0</v>
      </c>
    </row>
    <row r="133" spans="3:12" ht="16" x14ac:dyDescent="0.35">
      <c r="C133" s="121"/>
      <c r="D133" s="122"/>
      <c r="E133" s="122"/>
      <c r="F133" s="136"/>
      <c r="G133" s="126" t="s">
        <v>828</v>
      </c>
      <c r="H133" s="123">
        <f>SUM(H129:H132)</f>
        <v>0</v>
      </c>
      <c r="I133" s="124">
        <f t="shared" si="18"/>
        <v>0</v>
      </c>
      <c r="K133" s="125"/>
      <c r="L133" s="123">
        <f>SUM(L129:L132)</f>
        <v>0</v>
      </c>
    </row>
    <row r="134" spans="3:12" ht="18" thickBot="1" x14ac:dyDescent="0.4">
      <c r="C134" s="118"/>
      <c r="D134" s="119"/>
      <c r="E134" s="119"/>
      <c r="F134" s="137"/>
      <c r="G134" s="119" t="s">
        <v>829</v>
      </c>
      <c r="H134" s="120">
        <f>SUM(H113,H118,H121,H124,H128,H133)</f>
        <v>0</v>
      </c>
      <c r="I134" s="127">
        <f t="shared" si="18"/>
        <v>0</v>
      </c>
      <c r="K134" s="140"/>
      <c r="L134" s="120">
        <f>SUM(L113,L118,L121,L124,L128,L133)</f>
        <v>0</v>
      </c>
    </row>
    <row r="135" spans="3:12" ht="17.5" x14ac:dyDescent="0.35">
      <c r="C135" s="116" t="s">
        <v>830</v>
      </c>
      <c r="D135" s="117"/>
      <c r="E135" s="117"/>
      <c r="F135" s="138"/>
      <c r="G135" s="117"/>
      <c r="H135" s="128"/>
      <c r="I135" s="129"/>
      <c r="K135" s="141"/>
      <c r="L135" s="149"/>
    </row>
    <row r="136" spans="3:12" ht="13.5" x14ac:dyDescent="0.25">
      <c r="C136" s="97" t="s">
        <v>273</v>
      </c>
      <c r="D136" s="98" t="s">
        <v>831</v>
      </c>
      <c r="E136" s="98">
        <v>100</v>
      </c>
      <c r="F136" s="135" t="s">
        <v>25</v>
      </c>
      <c r="G136" s="100">
        <v>0</v>
      </c>
      <c r="H136" s="101">
        <f t="shared" ref="H136:H139" si="24">E136*G136</f>
        <v>0</v>
      </c>
      <c r="I136" s="102">
        <f t="shared" ref="I136:I153" si="25">IF($I$4=0, 0, H136/$I$4)</f>
        <v>0</v>
      </c>
      <c r="K136" s="97"/>
      <c r="L136" s="148">
        <f>Table135[[#This Row],[Total]]</f>
        <v>0</v>
      </c>
    </row>
    <row r="137" spans="3:12" ht="13.5" x14ac:dyDescent="0.25">
      <c r="C137" s="97" t="s">
        <v>274</v>
      </c>
      <c r="D137" s="98" t="s">
        <v>832</v>
      </c>
      <c r="E137" s="98">
        <v>0</v>
      </c>
      <c r="F137" s="135" t="s">
        <v>72</v>
      </c>
      <c r="G137" s="100">
        <v>0</v>
      </c>
      <c r="H137" s="101">
        <f t="shared" si="24"/>
        <v>0</v>
      </c>
      <c r="I137" s="102">
        <f t="shared" si="25"/>
        <v>0</v>
      </c>
      <c r="K137" s="97"/>
      <c r="L137" s="148">
        <f>Table135[[#This Row],[Total]]</f>
        <v>0</v>
      </c>
    </row>
    <row r="138" spans="3:12" ht="13.5" x14ac:dyDescent="0.25">
      <c r="C138" s="97" t="s">
        <v>276</v>
      </c>
      <c r="D138" s="98" t="s">
        <v>833</v>
      </c>
      <c r="E138" s="98">
        <v>100</v>
      </c>
      <c r="F138" s="135" t="s">
        <v>25</v>
      </c>
      <c r="G138" s="100">
        <v>0</v>
      </c>
      <c r="H138" s="101">
        <f t="shared" si="24"/>
        <v>0</v>
      </c>
      <c r="I138" s="102">
        <f t="shared" si="25"/>
        <v>0</v>
      </c>
      <c r="K138" s="97"/>
      <c r="L138" s="148">
        <f>Table135[[#This Row],[Total]]</f>
        <v>0</v>
      </c>
    </row>
    <row r="139" spans="3:12" ht="13.5" x14ac:dyDescent="0.25">
      <c r="C139" s="97" t="s">
        <v>278</v>
      </c>
      <c r="D139" s="98" t="s">
        <v>834</v>
      </c>
      <c r="E139" s="98">
        <v>1</v>
      </c>
      <c r="F139" s="135" t="s">
        <v>72</v>
      </c>
      <c r="G139" s="100">
        <v>0</v>
      </c>
      <c r="H139" s="101">
        <f t="shared" si="24"/>
        <v>0</v>
      </c>
      <c r="I139" s="102">
        <f t="shared" si="25"/>
        <v>0</v>
      </c>
      <c r="K139" s="97"/>
      <c r="L139" s="148">
        <f>Table135[[#This Row],[Total]]</f>
        <v>0</v>
      </c>
    </row>
    <row r="140" spans="3:12" ht="16" x14ac:dyDescent="0.35">
      <c r="C140" s="121"/>
      <c r="D140" s="122"/>
      <c r="E140" s="122"/>
      <c r="F140" s="136"/>
      <c r="G140" s="126" t="s">
        <v>835</v>
      </c>
      <c r="H140" s="123">
        <f>SUM(H136:H139)</f>
        <v>0</v>
      </c>
      <c r="I140" s="124">
        <f t="shared" si="25"/>
        <v>0</v>
      </c>
      <c r="K140" s="125"/>
      <c r="L140" s="123">
        <f>SUM(L136:L139)</f>
        <v>0</v>
      </c>
    </row>
    <row r="141" spans="3:12" ht="13.5" x14ac:dyDescent="0.25">
      <c r="C141" s="97" t="s">
        <v>58</v>
      </c>
      <c r="D141" s="98" t="s">
        <v>836</v>
      </c>
      <c r="E141" s="98">
        <v>500</v>
      </c>
      <c r="F141" s="135" t="s">
        <v>27</v>
      </c>
      <c r="G141" s="100">
        <v>0</v>
      </c>
      <c r="H141" s="101">
        <f t="shared" ref="H141:H142" si="26">E141*G141</f>
        <v>0</v>
      </c>
      <c r="I141" s="102">
        <f t="shared" si="25"/>
        <v>0</v>
      </c>
      <c r="K141" s="97"/>
      <c r="L141" s="148">
        <f>Table135[[#This Row],[Total]]</f>
        <v>0</v>
      </c>
    </row>
    <row r="142" spans="3:12" ht="13.5" x14ac:dyDescent="0.25">
      <c r="C142" s="97" t="s">
        <v>58</v>
      </c>
      <c r="D142" s="98" t="s">
        <v>281</v>
      </c>
      <c r="E142" s="98">
        <v>1</v>
      </c>
      <c r="F142" s="135" t="s">
        <v>25</v>
      </c>
      <c r="G142" s="100">
        <v>0</v>
      </c>
      <c r="H142" s="101">
        <f t="shared" si="26"/>
        <v>0</v>
      </c>
      <c r="I142" s="102">
        <f t="shared" si="25"/>
        <v>0</v>
      </c>
      <c r="K142" s="97"/>
      <c r="L142" s="148">
        <f>Table135[[#This Row],[Total]]</f>
        <v>0</v>
      </c>
    </row>
    <row r="143" spans="3:12" ht="16" x14ac:dyDescent="0.35">
      <c r="C143" s="121"/>
      <c r="D143" s="122"/>
      <c r="E143" s="122"/>
      <c r="F143" s="136"/>
      <c r="G143" s="126" t="s">
        <v>837</v>
      </c>
      <c r="H143" s="123">
        <f>SUM(H141:H142)</f>
        <v>0</v>
      </c>
      <c r="I143" s="124">
        <f t="shared" si="25"/>
        <v>0</v>
      </c>
      <c r="K143" s="125"/>
      <c r="L143" s="123">
        <f>SUM(L141:L142)</f>
        <v>0</v>
      </c>
    </row>
    <row r="144" spans="3:12" ht="13.5" x14ac:dyDescent="0.25">
      <c r="C144" s="97" t="s">
        <v>282</v>
      </c>
      <c r="D144" s="98" t="s">
        <v>283</v>
      </c>
      <c r="E144" s="98">
        <v>0</v>
      </c>
      <c r="F144" s="135" t="s">
        <v>72</v>
      </c>
      <c r="G144" s="100">
        <v>0</v>
      </c>
      <c r="H144" s="101">
        <f t="shared" ref="H144" si="27">E144*G144</f>
        <v>0</v>
      </c>
      <c r="I144" s="102">
        <f t="shared" si="25"/>
        <v>0</v>
      </c>
      <c r="K144" s="97"/>
      <c r="L144" s="148">
        <f>Table135[[#This Row],[Total]]</f>
        <v>0</v>
      </c>
    </row>
    <row r="145" spans="3:12" ht="16" x14ac:dyDescent="0.35">
      <c r="C145" s="121"/>
      <c r="D145" s="122"/>
      <c r="E145" s="122"/>
      <c r="F145" s="136"/>
      <c r="G145" s="126" t="s">
        <v>838</v>
      </c>
      <c r="H145" s="123">
        <f>SUM(H144)</f>
        <v>0</v>
      </c>
      <c r="I145" s="124">
        <f t="shared" si="25"/>
        <v>0</v>
      </c>
      <c r="K145" s="125"/>
      <c r="L145" s="123">
        <f>SUM(L144)</f>
        <v>0</v>
      </c>
    </row>
    <row r="146" spans="3:12" ht="13.5" x14ac:dyDescent="0.25">
      <c r="C146" s="97" t="s">
        <v>284</v>
      </c>
      <c r="D146" s="98" t="s">
        <v>839</v>
      </c>
      <c r="E146" s="98">
        <v>0</v>
      </c>
      <c r="F146" s="135" t="s">
        <v>25</v>
      </c>
      <c r="G146" s="100">
        <v>0</v>
      </c>
      <c r="H146" s="101">
        <f t="shared" ref="H146:H148" si="28">E146*G146</f>
        <v>0</v>
      </c>
      <c r="I146" s="102">
        <f t="shared" si="25"/>
        <v>0</v>
      </c>
      <c r="K146" s="97"/>
      <c r="L146" s="148">
        <f>Table135[[#This Row],[Total]]</f>
        <v>0</v>
      </c>
    </row>
    <row r="147" spans="3:12" ht="13.5" x14ac:dyDescent="0.25">
      <c r="C147" s="97" t="s">
        <v>56</v>
      </c>
      <c r="D147" s="98" t="s">
        <v>840</v>
      </c>
      <c r="E147" s="98">
        <v>100</v>
      </c>
      <c r="F147" s="135" t="s">
        <v>25</v>
      </c>
      <c r="G147" s="100">
        <v>0</v>
      </c>
      <c r="H147" s="101">
        <f t="shared" si="28"/>
        <v>0</v>
      </c>
      <c r="I147" s="102">
        <f t="shared" si="25"/>
        <v>0</v>
      </c>
      <c r="K147" s="97"/>
      <c r="L147" s="148">
        <f>Table135[[#This Row],[Total]]</f>
        <v>0</v>
      </c>
    </row>
    <row r="148" spans="3:12" ht="13.5" x14ac:dyDescent="0.25">
      <c r="C148" s="97" t="s">
        <v>56</v>
      </c>
      <c r="D148" s="98" t="s">
        <v>841</v>
      </c>
      <c r="E148" s="98">
        <v>1</v>
      </c>
      <c r="F148" s="135" t="s">
        <v>72</v>
      </c>
      <c r="G148" s="100">
        <v>0</v>
      </c>
      <c r="H148" s="101">
        <f t="shared" si="28"/>
        <v>0</v>
      </c>
      <c r="I148" s="102">
        <f t="shared" si="25"/>
        <v>0</v>
      </c>
      <c r="K148" s="97"/>
      <c r="L148" s="148">
        <f>Table135[[#This Row],[Total]]</f>
        <v>0</v>
      </c>
    </row>
    <row r="149" spans="3:12" ht="16" x14ac:dyDescent="0.35">
      <c r="C149" s="121"/>
      <c r="D149" s="122"/>
      <c r="E149" s="122"/>
      <c r="F149" s="136"/>
      <c r="G149" s="126" t="s">
        <v>842</v>
      </c>
      <c r="H149" s="123">
        <f>SUM(H146:H148)</f>
        <v>0</v>
      </c>
      <c r="I149" s="124">
        <f t="shared" si="25"/>
        <v>0</v>
      </c>
      <c r="K149" s="125"/>
      <c r="L149" s="123">
        <f>SUM(L146:L148)</f>
        <v>0</v>
      </c>
    </row>
    <row r="150" spans="3:12" ht="13.5" x14ac:dyDescent="0.25">
      <c r="C150" s="97" t="s">
        <v>287</v>
      </c>
      <c r="D150" s="98" t="s">
        <v>288</v>
      </c>
      <c r="E150" s="98">
        <v>100</v>
      </c>
      <c r="F150" s="135" t="s">
        <v>25</v>
      </c>
      <c r="G150" s="100">
        <v>0</v>
      </c>
      <c r="H150" s="101">
        <f t="shared" ref="H150:H151" si="29">E150*G150</f>
        <v>0</v>
      </c>
      <c r="I150" s="102">
        <f t="shared" si="25"/>
        <v>0</v>
      </c>
      <c r="K150" s="97"/>
      <c r="L150" s="148">
        <f>Table135[[#This Row],[Total]]</f>
        <v>0</v>
      </c>
    </row>
    <row r="151" spans="3:12" ht="13.5" x14ac:dyDescent="0.25">
      <c r="C151" s="97" t="s">
        <v>289</v>
      </c>
      <c r="D151" s="98" t="s">
        <v>290</v>
      </c>
      <c r="E151" s="98">
        <v>100</v>
      </c>
      <c r="F151" s="135" t="s">
        <v>72</v>
      </c>
      <c r="G151" s="100">
        <v>0</v>
      </c>
      <c r="H151" s="101">
        <f t="shared" si="29"/>
        <v>0</v>
      </c>
      <c r="I151" s="102">
        <f t="shared" si="25"/>
        <v>0</v>
      </c>
      <c r="K151" s="97"/>
      <c r="L151" s="148">
        <f>Table135[[#This Row],[Total]]</f>
        <v>0</v>
      </c>
    </row>
    <row r="152" spans="3:12" ht="16" x14ac:dyDescent="0.35">
      <c r="C152" s="121"/>
      <c r="D152" s="122"/>
      <c r="E152" s="122"/>
      <c r="F152" s="136"/>
      <c r="G152" s="126" t="s">
        <v>843</v>
      </c>
      <c r="H152" s="123">
        <f>SUM(H150:H151)</f>
        <v>0</v>
      </c>
      <c r="I152" s="124">
        <f t="shared" si="25"/>
        <v>0</v>
      </c>
      <c r="K152" s="125"/>
      <c r="L152" s="123">
        <f>SUM(L150:L151)</f>
        <v>0</v>
      </c>
    </row>
    <row r="153" spans="3:12" ht="18" thickBot="1" x14ac:dyDescent="0.4">
      <c r="C153" s="118"/>
      <c r="D153" s="119"/>
      <c r="E153" s="119"/>
      <c r="F153" s="137"/>
      <c r="G153" s="119" t="s">
        <v>844</v>
      </c>
      <c r="H153" s="120">
        <f>SUM(H140,H143,H145,H149,H152)</f>
        <v>0</v>
      </c>
      <c r="I153" s="127">
        <f t="shared" si="25"/>
        <v>0</v>
      </c>
      <c r="K153" s="140"/>
      <c r="L153" s="120">
        <f>SUM(L140,L143,L145,L149,L152)</f>
        <v>0</v>
      </c>
    </row>
    <row r="154" spans="3:12" ht="17.5" x14ac:dyDescent="0.35">
      <c r="C154" s="116" t="s">
        <v>845</v>
      </c>
      <c r="D154" s="117"/>
      <c r="E154" s="117"/>
      <c r="F154" s="138"/>
      <c r="G154" s="117"/>
      <c r="H154" s="128"/>
      <c r="I154" s="129"/>
      <c r="K154" s="141"/>
      <c r="L154" s="149"/>
    </row>
    <row r="155" spans="3:12" ht="13.5" x14ac:dyDescent="0.25">
      <c r="C155" s="97" t="s">
        <v>293</v>
      </c>
      <c r="D155" s="98" t="s">
        <v>846</v>
      </c>
      <c r="E155" s="98">
        <v>100</v>
      </c>
      <c r="F155" s="135" t="s">
        <v>25</v>
      </c>
      <c r="G155" s="100">
        <v>0</v>
      </c>
      <c r="H155" s="101">
        <f t="shared" ref="H155:H156" si="30">E155*G155</f>
        <v>0</v>
      </c>
      <c r="I155" s="102">
        <f t="shared" ref="I155:I178" si="31">IF($I$4=0, 0, H155/$I$4)</f>
        <v>0</v>
      </c>
      <c r="K155" s="97"/>
      <c r="L155" s="148">
        <f>Table135[[#This Row],[Total]]</f>
        <v>0</v>
      </c>
    </row>
    <row r="156" spans="3:12" ht="13.5" x14ac:dyDescent="0.25">
      <c r="C156" s="97" t="s">
        <v>295</v>
      </c>
      <c r="D156" s="98" t="s">
        <v>296</v>
      </c>
      <c r="E156" s="98">
        <v>0</v>
      </c>
      <c r="F156" s="135" t="s">
        <v>72</v>
      </c>
      <c r="G156" s="100">
        <v>0</v>
      </c>
      <c r="H156" s="101">
        <f t="shared" si="30"/>
        <v>0</v>
      </c>
      <c r="I156" s="102">
        <f t="shared" si="31"/>
        <v>0</v>
      </c>
      <c r="K156" s="97"/>
      <c r="L156" s="148">
        <f>Table135[[#This Row],[Total]]</f>
        <v>0</v>
      </c>
    </row>
    <row r="157" spans="3:12" ht="16" x14ac:dyDescent="0.35">
      <c r="C157" s="121"/>
      <c r="D157" s="122"/>
      <c r="E157" s="122"/>
      <c r="F157" s="136"/>
      <c r="G157" s="126" t="s">
        <v>847</v>
      </c>
      <c r="H157" s="123">
        <f>SUM(H155:H156)</f>
        <v>0</v>
      </c>
      <c r="I157" s="124">
        <f t="shared" si="31"/>
        <v>0</v>
      </c>
      <c r="K157" s="125"/>
      <c r="L157" s="123">
        <f>SUM(L155:L156)</f>
        <v>0</v>
      </c>
    </row>
    <row r="158" spans="3:12" ht="13.5" x14ac:dyDescent="0.25">
      <c r="C158" s="97" t="s">
        <v>297</v>
      </c>
      <c r="D158" s="98" t="s">
        <v>298</v>
      </c>
      <c r="E158" s="98">
        <v>100</v>
      </c>
      <c r="F158" s="135" t="s">
        <v>25</v>
      </c>
      <c r="G158" s="100">
        <v>0</v>
      </c>
      <c r="H158" s="101">
        <f t="shared" ref="H158" si="32">E158*G158</f>
        <v>0</v>
      </c>
      <c r="I158" s="102">
        <f t="shared" si="31"/>
        <v>0</v>
      </c>
      <c r="K158" s="97"/>
      <c r="L158" s="148">
        <f>Table135[[#This Row],[Total]]</f>
        <v>0</v>
      </c>
    </row>
    <row r="159" spans="3:12" ht="16" x14ac:dyDescent="0.35">
      <c r="C159" s="121"/>
      <c r="D159" s="122"/>
      <c r="E159" s="122"/>
      <c r="F159" s="136"/>
      <c r="G159" s="126" t="s">
        <v>848</v>
      </c>
      <c r="H159" s="123">
        <f>SUM(H158)</f>
        <v>0</v>
      </c>
      <c r="I159" s="124">
        <f t="shared" si="31"/>
        <v>0</v>
      </c>
      <c r="K159" s="125"/>
      <c r="L159" s="123">
        <f>SUM(L158)</f>
        <v>0</v>
      </c>
    </row>
    <row r="160" spans="3:12" ht="13.5" x14ac:dyDescent="0.25">
      <c r="C160" s="97" t="s">
        <v>299</v>
      </c>
      <c r="D160" s="98" t="s">
        <v>300</v>
      </c>
      <c r="E160" s="98">
        <v>2000</v>
      </c>
      <c r="F160" s="135" t="s">
        <v>27</v>
      </c>
      <c r="G160" s="100">
        <v>0</v>
      </c>
      <c r="H160" s="101">
        <f t="shared" ref="H160" si="33">E160*G160</f>
        <v>0</v>
      </c>
      <c r="I160" s="102">
        <f t="shared" si="31"/>
        <v>0</v>
      </c>
      <c r="K160" s="97"/>
      <c r="L160" s="148">
        <f>Table135[[#This Row],[Total]]</f>
        <v>0</v>
      </c>
    </row>
    <row r="161" spans="3:12" ht="16" x14ac:dyDescent="0.35">
      <c r="C161" s="121"/>
      <c r="D161" s="122"/>
      <c r="E161" s="122"/>
      <c r="F161" s="136"/>
      <c r="G161" s="126" t="s">
        <v>849</v>
      </c>
      <c r="H161" s="123">
        <f>SUM(H160:H160)</f>
        <v>0</v>
      </c>
      <c r="I161" s="124">
        <f t="shared" si="31"/>
        <v>0</v>
      </c>
      <c r="K161" s="125"/>
      <c r="L161" s="123">
        <f>SUM(L160:L160)</f>
        <v>0</v>
      </c>
    </row>
    <row r="162" spans="3:12" ht="13.5" x14ac:dyDescent="0.25">
      <c r="C162" s="97" t="s">
        <v>301</v>
      </c>
      <c r="D162" s="98" t="s">
        <v>302</v>
      </c>
      <c r="E162" s="98">
        <v>0</v>
      </c>
      <c r="F162" s="135" t="s">
        <v>72</v>
      </c>
      <c r="G162" s="100">
        <v>0</v>
      </c>
      <c r="H162" s="101">
        <f t="shared" ref="H162" si="34">E162*G162</f>
        <v>0</v>
      </c>
      <c r="I162" s="102">
        <f t="shared" si="31"/>
        <v>0</v>
      </c>
      <c r="K162" s="97"/>
      <c r="L162" s="148">
        <f>Table135[[#This Row],[Total]]</f>
        <v>0</v>
      </c>
    </row>
    <row r="163" spans="3:12" ht="16" x14ac:dyDescent="0.35">
      <c r="C163" s="121"/>
      <c r="D163" s="122"/>
      <c r="E163" s="122"/>
      <c r="F163" s="136"/>
      <c r="G163" s="126" t="s">
        <v>850</v>
      </c>
      <c r="H163" s="123">
        <f>SUM(H162:H162)</f>
        <v>0</v>
      </c>
      <c r="I163" s="124">
        <f t="shared" si="31"/>
        <v>0</v>
      </c>
      <c r="K163" s="125"/>
      <c r="L163" s="123">
        <f>SUM(L162:L162)</f>
        <v>0</v>
      </c>
    </row>
    <row r="164" spans="3:12" ht="13.5" x14ac:dyDescent="0.25">
      <c r="C164" s="97" t="s">
        <v>303</v>
      </c>
      <c r="D164" s="98" t="s">
        <v>304</v>
      </c>
      <c r="E164" s="98">
        <v>100</v>
      </c>
      <c r="F164" s="135" t="s">
        <v>25</v>
      </c>
      <c r="G164" s="100">
        <v>0</v>
      </c>
      <c r="H164" s="101">
        <f t="shared" ref="H164" si="35">E164*G164</f>
        <v>0</v>
      </c>
      <c r="I164" s="102">
        <f t="shared" si="31"/>
        <v>0</v>
      </c>
      <c r="K164" s="97"/>
      <c r="L164" s="148">
        <f>Table135[[#This Row],[Total]]</f>
        <v>0</v>
      </c>
    </row>
    <row r="165" spans="3:12" ht="16" x14ac:dyDescent="0.35">
      <c r="C165" s="121"/>
      <c r="D165" s="122"/>
      <c r="E165" s="122"/>
      <c r="F165" s="136"/>
      <c r="G165" s="126" t="s">
        <v>851</v>
      </c>
      <c r="H165" s="123">
        <f>SUM(H164)</f>
        <v>0</v>
      </c>
      <c r="I165" s="124">
        <f t="shared" si="31"/>
        <v>0</v>
      </c>
      <c r="K165" s="125"/>
      <c r="L165" s="123">
        <f>SUM(L164)</f>
        <v>0</v>
      </c>
    </row>
    <row r="166" spans="3:12" ht="13.5" x14ac:dyDescent="0.25">
      <c r="C166" s="97" t="s">
        <v>305</v>
      </c>
      <c r="D166" s="98" t="s">
        <v>306</v>
      </c>
      <c r="E166" s="98">
        <v>0</v>
      </c>
      <c r="F166" s="135" t="s">
        <v>27</v>
      </c>
      <c r="G166" s="100">
        <v>0</v>
      </c>
      <c r="H166" s="101">
        <f t="shared" ref="H166" si="36">E166*G166</f>
        <v>0</v>
      </c>
      <c r="I166" s="102">
        <f t="shared" si="31"/>
        <v>0</v>
      </c>
      <c r="K166" s="97"/>
      <c r="L166" s="148">
        <f>Table135[[#This Row],[Total]]</f>
        <v>0</v>
      </c>
    </row>
    <row r="167" spans="3:12" ht="16" x14ac:dyDescent="0.35">
      <c r="C167" s="121"/>
      <c r="D167" s="122"/>
      <c r="E167" s="122"/>
      <c r="F167" s="136"/>
      <c r="G167" s="126" t="s">
        <v>852</v>
      </c>
      <c r="H167" s="123">
        <f>SUM(H166)</f>
        <v>0</v>
      </c>
      <c r="I167" s="124">
        <f t="shared" si="31"/>
        <v>0</v>
      </c>
      <c r="K167" s="125"/>
      <c r="L167" s="123">
        <f>SUM(L166)</f>
        <v>0</v>
      </c>
    </row>
    <row r="168" spans="3:12" ht="13.5" x14ac:dyDescent="0.25">
      <c r="C168" s="97" t="s">
        <v>307</v>
      </c>
      <c r="D168" s="98" t="s">
        <v>308</v>
      </c>
      <c r="E168" s="98">
        <v>1</v>
      </c>
      <c r="F168" s="135" t="s">
        <v>72</v>
      </c>
      <c r="G168" s="100">
        <v>0</v>
      </c>
      <c r="H168" s="101">
        <f t="shared" ref="H168:H169" si="37">E168*G168</f>
        <v>0</v>
      </c>
      <c r="I168" s="102">
        <f t="shared" si="31"/>
        <v>0</v>
      </c>
      <c r="K168" s="97"/>
      <c r="L168" s="148">
        <f>Table135[[#This Row],[Total]]</f>
        <v>0</v>
      </c>
    </row>
    <row r="169" spans="3:12" ht="13.5" x14ac:dyDescent="0.25">
      <c r="C169" s="97" t="s">
        <v>307</v>
      </c>
      <c r="D169" s="98" t="s">
        <v>853</v>
      </c>
      <c r="E169" s="98">
        <v>1</v>
      </c>
      <c r="F169" s="135" t="s">
        <v>72</v>
      </c>
      <c r="G169" s="100">
        <v>0</v>
      </c>
      <c r="H169" s="101">
        <f t="shared" si="37"/>
        <v>0</v>
      </c>
      <c r="I169" s="102">
        <f t="shared" si="31"/>
        <v>0</v>
      </c>
      <c r="K169" s="97"/>
      <c r="L169" s="148">
        <f>Table135[[#This Row],[Total]]</f>
        <v>0</v>
      </c>
    </row>
    <row r="170" spans="3:12" ht="16" x14ac:dyDescent="0.35">
      <c r="C170" s="121"/>
      <c r="D170" s="122"/>
      <c r="E170" s="122"/>
      <c r="F170" s="136"/>
      <c r="G170" s="126" t="s">
        <v>854</v>
      </c>
      <c r="H170" s="123">
        <f>SUM(H168:H169)</f>
        <v>0</v>
      </c>
      <c r="I170" s="124">
        <f t="shared" si="31"/>
        <v>0</v>
      </c>
      <c r="K170" s="125"/>
      <c r="L170" s="123">
        <f>SUM(L168:L169)</f>
        <v>0</v>
      </c>
    </row>
    <row r="171" spans="3:12" ht="13.5" x14ac:dyDescent="0.25">
      <c r="C171" s="97" t="s">
        <v>310</v>
      </c>
      <c r="D171" s="98" t="s">
        <v>311</v>
      </c>
      <c r="E171" s="98">
        <v>1</v>
      </c>
      <c r="F171" s="135" t="s">
        <v>72</v>
      </c>
      <c r="G171" s="100">
        <v>0</v>
      </c>
      <c r="H171" s="101">
        <f t="shared" ref="H171" si="38">E171*G171</f>
        <v>0</v>
      </c>
      <c r="I171" s="102">
        <f t="shared" si="31"/>
        <v>0</v>
      </c>
      <c r="K171" s="97"/>
      <c r="L171" s="148">
        <f>Table135[[#This Row],[Total]]</f>
        <v>0</v>
      </c>
    </row>
    <row r="172" spans="3:12" ht="16" x14ac:dyDescent="0.35">
      <c r="C172" s="121"/>
      <c r="D172" s="122"/>
      <c r="E172" s="122"/>
      <c r="F172" s="136"/>
      <c r="G172" s="126" t="s">
        <v>855</v>
      </c>
      <c r="H172" s="123">
        <f>SUM(H171)</f>
        <v>0</v>
      </c>
      <c r="I172" s="124">
        <f t="shared" si="31"/>
        <v>0</v>
      </c>
      <c r="K172" s="125"/>
      <c r="L172" s="123">
        <f>SUM(L171)</f>
        <v>0</v>
      </c>
    </row>
    <row r="173" spans="3:12" ht="13.5" x14ac:dyDescent="0.25">
      <c r="C173" s="97" t="s">
        <v>312</v>
      </c>
      <c r="D173" s="98" t="s">
        <v>313</v>
      </c>
      <c r="E173" s="98">
        <v>100</v>
      </c>
      <c r="F173" s="135" t="s">
        <v>25</v>
      </c>
      <c r="G173" s="100">
        <v>0</v>
      </c>
      <c r="H173" s="101">
        <f t="shared" ref="H173:H174" si="39">E173*G173</f>
        <v>0</v>
      </c>
      <c r="I173" s="102">
        <f t="shared" si="31"/>
        <v>0</v>
      </c>
      <c r="K173" s="97"/>
      <c r="L173" s="148">
        <f>Table135[[#This Row],[Total]]</f>
        <v>0</v>
      </c>
    </row>
    <row r="174" spans="3:12" ht="13.5" x14ac:dyDescent="0.25">
      <c r="C174" s="97" t="s">
        <v>314</v>
      </c>
      <c r="D174" s="98" t="s">
        <v>315</v>
      </c>
      <c r="E174" s="98">
        <v>0</v>
      </c>
      <c r="F174" s="135" t="s">
        <v>27</v>
      </c>
      <c r="G174" s="100">
        <v>0</v>
      </c>
      <c r="H174" s="101">
        <f t="shared" si="39"/>
        <v>0</v>
      </c>
      <c r="I174" s="102">
        <f t="shared" si="31"/>
        <v>0</v>
      </c>
      <c r="K174" s="97"/>
      <c r="L174" s="148">
        <f>Table135[[#This Row],[Total]]</f>
        <v>0</v>
      </c>
    </row>
    <row r="175" spans="3:12" ht="16" x14ac:dyDescent="0.35">
      <c r="C175" s="121"/>
      <c r="D175" s="122"/>
      <c r="E175" s="122"/>
      <c r="F175" s="136"/>
      <c r="G175" s="126" t="s">
        <v>856</v>
      </c>
      <c r="H175" s="123">
        <f>SUM(H173:H174)</f>
        <v>0</v>
      </c>
      <c r="I175" s="124">
        <f t="shared" si="31"/>
        <v>0</v>
      </c>
      <c r="K175" s="125"/>
      <c r="L175" s="123">
        <f>SUM(L173:L174)</f>
        <v>0</v>
      </c>
    </row>
    <row r="176" spans="3:12" ht="13.5" x14ac:dyDescent="0.25">
      <c r="C176" s="97" t="s">
        <v>316</v>
      </c>
      <c r="D176" s="98" t="s">
        <v>317</v>
      </c>
      <c r="E176" s="98">
        <v>0</v>
      </c>
      <c r="F176" s="135" t="s">
        <v>72</v>
      </c>
      <c r="G176" s="100">
        <v>0</v>
      </c>
      <c r="H176" s="101">
        <f t="shared" ref="H176" si="40">E176*G176</f>
        <v>0</v>
      </c>
      <c r="I176" s="102">
        <f t="shared" si="31"/>
        <v>0</v>
      </c>
      <c r="K176" s="97"/>
      <c r="L176" s="148">
        <f>Table135[[#This Row],[Total]]</f>
        <v>0</v>
      </c>
    </row>
    <row r="177" spans="3:12" ht="16" x14ac:dyDescent="0.35">
      <c r="C177" s="121"/>
      <c r="D177" s="122"/>
      <c r="E177" s="122"/>
      <c r="F177" s="136"/>
      <c r="G177" s="126" t="s">
        <v>857</v>
      </c>
      <c r="H177" s="123">
        <f>SUM(H176:H176)</f>
        <v>0</v>
      </c>
      <c r="I177" s="124">
        <f t="shared" si="31"/>
        <v>0</v>
      </c>
      <c r="K177" s="125"/>
      <c r="L177" s="123">
        <f>SUM(L176:L176)</f>
        <v>0</v>
      </c>
    </row>
    <row r="178" spans="3:12" ht="18" thickBot="1" x14ac:dyDescent="0.4">
      <c r="C178" s="118"/>
      <c r="D178" s="119"/>
      <c r="E178" s="119"/>
      <c r="F178" s="137"/>
      <c r="G178" s="119" t="s">
        <v>858</v>
      </c>
      <c r="H178" s="120">
        <f>SUM(H157,H159,H161,H163,H165,H167,H170,H172,H175,H177)</f>
        <v>0</v>
      </c>
      <c r="I178" s="127">
        <f t="shared" si="31"/>
        <v>0</v>
      </c>
      <c r="K178" s="140"/>
      <c r="L178" s="120">
        <f>SUM(L157,L159,L161,L163,L165,L167,L170,L172,L175,L177)</f>
        <v>0</v>
      </c>
    </row>
    <row r="179" spans="3:12" ht="17.5" x14ac:dyDescent="0.35">
      <c r="C179" s="116" t="s">
        <v>859</v>
      </c>
      <c r="D179" s="117"/>
      <c r="E179" s="117"/>
      <c r="F179" s="138"/>
      <c r="G179" s="117"/>
      <c r="H179" s="128"/>
      <c r="I179" s="129"/>
      <c r="K179" s="141"/>
      <c r="L179" s="149"/>
    </row>
    <row r="180" spans="3:12" ht="13.5" x14ac:dyDescent="0.25">
      <c r="C180" s="97" t="s">
        <v>319</v>
      </c>
      <c r="D180" s="98" t="s">
        <v>320</v>
      </c>
      <c r="E180" s="98">
        <v>100</v>
      </c>
      <c r="F180" s="135" t="s">
        <v>25</v>
      </c>
      <c r="G180" s="100">
        <v>0</v>
      </c>
      <c r="H180" s="101">
        <f t="shared" ref="H180:H200" si="41">E180*G180</f>
        <v>0</v>
      </c>
      <c r="I180" s="102">
        <f t="shared" ref="I180:I202" si="42">IF($I$4=0, 0, H180/$I$4)</f>
        <v>0</v>
      </c>
      <c r="K180" s="97"/>
      <c r="L180" s="148">
        <f>Table135[[#This Row],[Total]]</f>
        <v>0</v>
      </c>
    </row>
    <row r="181" spans="3:12" ht="13.5" x14ac:dyDescent="0.25">
      <c r="C181" s="97" t="s">
        <v>319</v>
      </c>
      <c r="D181" s="98" t="s">
        <v>860</v>
      </c>
      <c r="E181" s="98">
        <v>1</v>
      </c>
      <c r="F181" s="135" t="s">
        <v>25</v>
      </c>
      <c r="G181" s="100">
        <v>0</v>
      </c>
      <c r="H181" s="101">
        <f t="shared" si="41"/>
        <v>0</v>
      </c>
      <c r="I181" s="102">
        <f t="shared" si="42"/>
        <v>0</v>
      </c>
      <c r="K181" s="97"/>
      <c r="L181" s="148">
        <f>Table135[[#This Row],[Total]]</f>
        <v>0</v>
      </c>
    </row>
    <row r="182" spans="3:12" ht="13.5" x14ac:dyDescent="0.25">
      <c r="C182" s="97" t="s">
        <v>319</v>
      </c>
      <c r="D182" s="98" t="s">
        <v>321</v>
      </c>
      <c r="E182" s="98">
        <v>1</v>
      </c>
      <c r="F182" s="135" t="s">
        <v>25</v>
      </c>
      <c r="G182" s="100">
        <v>0</v>
      </c>
      <c r="H182" s="101">
        <f t="shared" si="41"/>
        <v>0</v>
      </c>
      <c r="I182" s="102">
        <f t="shared" si="42"/>
        <v>0</v>
      </c>
      <c r="K182" s="97"/>
      <c r="L182" s="148">
        <f>Table135[[#This Row],[Total]]</f>
        <v>0</v>
      </c>
    </row>
    <row r="183" spans="3:12" ht="13.5" x14ac:dyDescent="0.25">
      <c r="C183" s="97" t="s">
        <v>322</v>
      </c>
      <c r="D183" s="98" t="s">
        <v>323</v>
      </c>
      <c r="E183" s="98">
        <v>0</v>
      </c>
      <c r="F183" s="135" t="s">
        <v>72</v>
      </c>
      <c r="G183" s="100">
        <v>0</v>
      </c>
      <c r="H183" s="101">
        <f t="shared" si="41"/>
        <v>0</v>
      </c>
      <c r="I183" s="102">
        <f t="shared" si="42"/>
        <v>0</v>
      </c>
      <c r="K183" s="97"/>
      <c r="L183" s="148">
        <f>Table135[[#This Row],[Total]]</f>
        <v>0</v>
      </c>
    </row>
    <row r="184" spans="3:12" ht="13.5" x14ac:dyDescent="0.25">
      <c r="C184" s="97" t="s">
        <v>324</v>
      </c>
      <c r="D184" s="98" t="s">
        <v>861</v>
      </c>
      <c r="E184" s="98">
        <v>1</v>
      </c>
      <c r="F184" s="135" t="s">
        <v>72</v>
      </c>
      <c r="G184" s="100">
        <v>0</v>
      </c>
      <c r="H184" s="101">
        <f t="shared" si="41"/>
        <v>0</v>
      </c>
      <c r="I184" s="102">
        <f t="shared" si="42"/>
        <v>0</v>
      </c>
      <c r="K184" s="97"/>
      <c r="L184" s="148">
        <f>Table135[[#This Row],[Total]]</f>
        <v>0</v>
      </c>
    </row>
    <row r="185" spans="3:12" ht="13.5" x14ac:dyDescent="0.25">
      <c r="C185" s="97" t="s">
        <v>326</v>
      </c>
      <c r="D185" s="98" t="s">
        <v>327</v>
      </c>
      <c r="E185" s="98">
        <v>50</v>
      </c>
      <c r="F185" s="135" t="s">
        <v>25</v>
      </c>
      <c r="G185" s="100">
        <v>0</v>
      </c>
      <c r="H185" s="101">
        <f t="shared" si="41"/>
        <v>0</v>
      </c>
      <c r="I185" s="102">
        <f t="shared" si="42"/>
        <v>0</v>
      </c>
      <c r="K185" s="97"/>
      <c r="L185" s="148">
        <f>Table135[[#This Row],[Total]]</f>
        <v>0</v>
      </c>
    </row>
    <row r="186" spans="3:12" ht="13.5" x14ac:dyDescent="0.25">
      <c r="C186" s="97" t="s">
        <v>328</v>
      </c>
      <c r="D186" s="98" t="s">
        <v>329</v>
      </c>
      <c r="E186" s="98">
        <v>0</v>
      </c>
      <c r="F186" s="135" t="s">
        <v>72</v>
      </c>
      <c r="G186" s="100">
        <v>0</v>
      </c>
      <c r="H186" s="101">
        <f t="shared" si="41"/>
        <v>0</v>
      </c>
      <c r="I186" s="102">
        <f t="shared" si="42"/>
        <v>0</v>
      </c>
      <c r="K186" s="97"/>
      <c r="L186" s="148">
        <f>Table135[[#This Row],[Total]]</f>
        <v>0</v>
      </c>
    </row>
    <row r="187" spans="3:12" ht="13.5" x14ac:dyDescent="0.25">
      <c r="C187" s="97" t="s">
        <v>330</v>
      </c>
      <c r="D187" s="98" t="s">
        <v>862</v>
      </c>
      <c r="E187" s="98">
        <v>1</v>
      </c>
      <c r="F187" s="135" t="s">
        <v>72</v>
      </c>
      <c r="G187" s="100">
        <v>0</v>
      </c>
      <c r="H187" s="101">
        <f t="shared" si="41"/>
        <v>0</v>
      </c>
      <c r="I187" s="102">
        <f t="shared" si="42"/>
        <v>0</v>
      </c>
      <c r="K187" s="97"/>
      <c r="L187" s="148">
        <f>Table135[[#This Row],[Total]]</f>
        <v>0</v>
      </c>
    </row>
    <row r="188" spans="3:12" ht="13.5" x14ac:dyDescent="0.25">
      <c r="C188" s="97" t="s">
        <v>332</v>
      </c>
      <c r="D188" s="98" t="s">
        <v>863</v>
      </c>
      <c r="E188" s="98">
        <v>100</v>
      </c>
      <c r="F188" s="135" t="s">
        <v>25</v>
      </c>
      <c r="G188" s="100">
        <v>0</v>
      </c>
      <c r="H188" s="101">
        <f t="shared" si="41"/>
        <v>0</v>
      </c>
      <c r="I188" s="102">
        <f t="shared" si="42"/>
        <v>0</v>
      </c>
      <c r="K188" s="97"/>
      <c r="L188" s="148">
        <f>Table135[[#This Row],[Total]]</f>
        <v>0</v>
      </c>
    </row>
    <row r="189" spans="3:12" ht="13.5" x14ac:dyDescent="0.25">
      <c r="C189" s="97" t="s">
        <v>334</v>
      </c>
      <c r="D189" s="98" t="s">
        <v>864</v>
      </c>
      <c r="E189" s="98">
        <v>100</v>
      </c>
      <c r="F189" s="135" t="s">
        <v>25</v>
      </c>
      <c r="G189" s="100">
        <v>0</v>
      </c>
      <c r="H189" s="101">
        <f t="shared" si="41"/>
        <v>0</v>
      </c>
      <c r="I189" s="102">
        <f t="shared" si="42"/>
        <v>0</v>
      </c>
      <c r="K189" s="97"/>
      <c r="L189" s="148">
        <f>Table135[[#This Row],[Total]]</f>
        <v>0</v>
      </c>
    </row>
    <row r="190" spans="3:12" ht="13.5" x14ac:dyDescent="0.25">
      <c r="C190" s="97" t="s">
        <v>336</v>
      </c>
      <c r="D190" s="98" t="s">
        <v>337</v>
      </c>
      <c r="E190" s="98">
        <v>30</v>
      </c>
      <c r="F190" s="135" t="s">
        <v>25</v>
      </c>
      <c r="G190" s="100">
        <v>0</v>
      </c>
      <c r="H190" s="101">
        <f t="shared" si="41"/>
        <v>0</v>
      </c>
      <c r="I190" s="102">
        <f t="shared" si="42"/>
        <v>0</v>
      </c>
      <c r="K190" s="97"/>
      <c r="L190" s="148">
        <f>Table135[[#This Row],[Total]]</f>
        <v>0</v>
      </c>
    </row>
    <row r="191" spans="3:12" ht="13.5" x14ac:dyDescent="0.25">
      <c r="C191" s="97" t="s">
        <v>336</v>
      </c>
      <c r="D191" s="98" t="s">
        <v>338</v>
      </c>
      <c r="E191" s="98">
        <v>1</v>
      </c>
      <c r="F191" s="135" t="s">
        <v>25</v>
      </c>
      <c r="G191" s="100">
        <v>0</v>
      </c>
      <c r="H191" s="101">
        <f t="shared" si="41"/>
        <v>0</v>
      </c>
      <c r="I191" s="102">
        <f t="shared" si="42"/>
        <v>0</v>
      </c>
      <c r="K191" s="97"/>
      <c r="L191" s="148">
        <f>Table135[[#This Row],[Total]]</f>
        <v>0</v>
      </c>
    </row>
    <row r="192" spans="3:12" ht="13.5" x14ac:dyDescent="0.25">
      <c r="C192" s="97" t="s">
        <v>339</v>
      </c>
      <c r="D192" s="98" t="s">
        <v>340</v>
      </c>
      <c r="E192" s="98">
        <v>2</v>
      </c>
      <c r="F192" s="135" t="s">
        <v>25</v>
      </c>
      <c r="G192" s="100">
        <v>0</v>
      </c>
      <c r="H192" s="101">
        <f t="shared" si="41"/>
        <v>0</v>
      </c>
      <c r="I192" s="102">
        <f t="shared" si="42"/>
        <v>0</v>
      </c>
      <c r="K192" s="97"/>
      <c r="L192" s="148">
        <f>Table135[[#This Row],[Total]]</f>
        <v>0</v>
      </c>
    </row>
    <row r="193" spans="3:12" ht="13.5" x14ac:dyDescent="0.25">
      <c r="C193" s="97" t="s">
        <v>341</v>
      </c>
      <c r="D193" s="98" t="s">
        <v>865</v>
      </c>
      <c r="E193" s="98">
        <v>20</v>
      </c>
      <c r="F193" s="135" t="s">
        <v>25</v>
      </c>
      <c r="G193" s="100">
        <v>0</v>
      </c>
      <c r="H193" s="101">
        <f t="shared" si="41"/>
        <v>0</v>
      </c>
      <c r="I193" s="102">
        <f t="shared" si="42"/>
        <v>0</v>
      </c>
      <c r="K193" s="97"/>
      <c r="L193" s="148">
        <f>Table135[[#This Row],[Total]]</f>
        <v>0</v>
      </c>
    </row>
    <row r="194" spans="3:12" ht="13.5" x14ac:dyDescent="0.25">
      <c r="C194" s="97" t="s">
        <v>343</v>
      </c>
      <c r="D194" s="98" t="s">
        <v>344</v>
      </c>
      <c r="E194" s="98">
        <v>0</v>
      </c>
      <c r="F194" s="135" t="s">
        <v>72</v>
      </c>
      <c r="G194" s="100">
        <v>0</v>
      </c>
      <c r="H194" s="101">
        <f t="shared" si="41"/>
        <v>0</v>
      </c>
      <c r="I194" s="102">
        <f t="shared" si="42"/>
        <v>0</v>
      </c>
      <c r="K194" s="97"/>
      <c r="L194" s="148">
        <f>Table135[[#This Row],[Total]]</f>
        <v>0</v>
      </c>
    </row>
    <row r="195" spans="3:12" ht="13.5" x14ac:dyDescent="0.25">
      <c r="C195" s="97" t="s">
        <v>345</v>
      </c>
      <c r="D195" s="98" t="s">
        <v>346</v>
      </c>
      <c r="E195" s="98">
        <v>100</v>
      </c>
      <c r="F195" s="135" t="s">
        <v>25</v>
      </c>
      <c r="G195" s="100">
        <v>0</v>
      </c>
      <c r="H195" s="101">
        <f t="shared" si="41"/>
        <v>0</v>
      </c>
      <c r="I195" s="102">
        <f t="shared" si="42"/>
        <v>0</v>
      </c>
      <c r="K195" s="97"/>
      <c r="L195" s="148">
        <f>Table135[[#This Row],[Total]]</f>
        <v>0</v>
      </c>
    </row>
    <row r="196" spans="3:12" ht="13.5" x14ac:dyDescent="0.25">
      <c r="C196" s="97" t="s">
        <v>345</v>
      </c>
      <c r="D196" s="98" t="s">
        <v>347</v>
      </c>
      <c r="E196" s="98">
        <v>0</v>
      </c>
      <c r="F196" s="135" t="s">
        <v>72</v>
      </c>
      <c r="G196" s="100">
        <v>0</v>
      </c>
      <c r="H196" s="101">
        <f t="shared" si="41"/>
        <v>0</v>
      </c>
      <c r="I196" s="102">
        <f t="shared" si="42"/>
        <v>0</v>
      </c>
      <c r="K196" s="97"/>
      <c r="L196" s="148">
        <f>Table135[[#This Row],[Total]]</f>
        <v>0</v>
      </c>
    </row>
    <row r="197" spans="3:12" ht="13.5" x14ac:dyDescent="0.25">
      <c r="C197" s="97" t="s">
        <v>348</v>
      </c>
      <c r="D197" s="98" t="s">
        <v>349</v>
      </c>
      <c r="E197" s="98">
        <v>100</v>
      </c>
      <c r="F197" s="135" t="s">
        <v>25</v>
      </c>
      <c r="G197" s="100">
        <v>0</v>
      </c>
      <c r="H197" s="101">
        <f t="shared" si="41"/>
        <v>0</v>
      </c>
      <c r="I197" s="102">
        <f t="shared" si="42"/>
        <v>0</v>
      </c>
      <c r="K197" s="97"/>
      <c r="L197" s="148">
        <f>Table135[[#This Row],[Total]]</f>
        <v>0</v>
      </c>
    </row>
    <row r="198" spans="3:12" ht="13.5" x14ac:dyDescent="0.25">
      <c r="C198" s="97" t="s">
        <v>350</v>
      </c>
      <c r="D198" s="98" t="s">
        <v>866</v>
      </c>
      <c r="E198" s="98">
        <v>0</v>
      </c>
      <c r="F198" s="135" t="s">
        <v>72</v>
      </c>
      <c r="G198" s="100">
        <v>0</v>
      </c>
      <c r="H198" s="101">
        <f t="shared" si="41"/>
        <v>0</v>
      </c>
      <c r="I198" s="102">
        <f t="shared" si="42"/>
        <v>0</v>
      </c>
      <c r="K198" s="97"/>
      <c r="L198" s="148">
        <f>Table135[[#This Row],[Total]]</f>
        <v>0</v>
      </c>
    </row>
    <row r="199" spans="3:12" ht="13.5" x14ac:dyDescent="0.25">
      <c r="C199" s="97" t="s">
        <v>352</v>
      </c>
      <c r="D199" s="98" t="s">
        <v>353</v>
      </c>
      <c r="E199" s="98">
        <v>0</v>
      </c>
      <c r="F199" s="135" t="s">
        <v>72</v>
      </c>
      <c r="G199" s="100">
        <v>0</v>
      </c>
      <c r="H199" s="101">
        <f t="shared" si="41"/>
        <v>0</v>
      </c>
      <c r="I199" s="102">
        <f t="shared" si="42"/>
        <v>0</v>
      </c>
      <c r="K199" s="97"/>
      <c r="L199" s="148">
        <f>Table135[[#This Row],[Total]]</f>
        <v>0</v>
      </c>
    </row>
    <row r="200" spans="3:12" ht="13.5" x14ac:dyDescent="0.25">
      <c r="C200" s="97" t="s">
        <v>354</v>
      </c>
      <c r="D200" s="98" t="s">
        <v>355</v>
      </c>
      <c r="E200" s="98">
        <v>0</v>
      </c>
      <c r="F200" s="135" t="s">
        <v>72</v>
      </c>
      <c r="G200" s="100">
        <v>0</v>
      </c>
      <c r="H200" s="101">
        <f t="shared" si="41"/>
        <v>0</v>
      </c>
      <c r="I200" s="102">
        <f t="shared" si="42"/>
        <v>0</v>
      </c>
      <c r="K200" s="97"/>
      <c r="L200" s="148">
        <f>Table135[[#This Row],[Total]]</f>
        <v>0</v>
      </c>
    </row>
    <row r="201" spans="3:12" ht="16" x14ac:dyDescent="0.35">
      <c r="C201" s="121"/>
      <c r="D201" s="122"/>
      <c r="E201" s="122"/>
      <c r="F201" s="136"/>
      <c r="G201" s="126" t="s">
        <v>867</v>
      </c>
      <c r="H201" s="123">
        <f>SUM(H180:H200)</f>
        <v>0</v>
      </c>
      <c r="I201" s="124">
        <f t="shared" si="42"/>
        <v>0</v>
      </c>
      <c r="K201" s="125"/>
      <c r="L201" s="123">
        <f>SUM(L180:L200)</f>
        <v>0</v>
      </c>
    </row>
    <row r="202" spans="3:12" ht="18" thickBot="1" x14ac:dyDescent="0.4">
      <c r="C202" s="118"/>
      <c r="D202" s="119"/>
      <c r="E202" s="119"/>
      <c r="F202" s="137"/>
      <c r="G202" s="119" t="s">
        <v>868</v>
      </c>
      <c r="H202" s="120">
        <f>SUM(H201)</f>
        <v>0</v>
      </c>
      <c r="I202" s="127">
        <f t="shared" si="42"/>
        <v>0</v>
      </c>
      <c r="K202" s="140"/>
      <c r="L202" s="120">
        <f>SUM(L201)</f>
        <v>0</v>
      </c>
    </row>
    <row r="203" spans="3:12" ht="17.5" x14ac:dyDescent="0.35">
      <c r="C203" s="116" t="s">
        <v>869</v>
      </c>
      <c r="D203" s="117"/>
      <c r="E203" s="117"/>
      <c r="F203" s="138"/>
      <c r="G203" s="117"/>
      <c r="H203" s="128"/>
      <c r="I203" s="129"/>
      <c r="K203" s="141"/>
      <c r="L203" s="149"/>
    </row>
    <row r="204" spans="3:12" ht="13.5" x14ac:dyDescent="0.25">
      <c r="C204" s="97" t="s">
        <v>356</v>
      </c>
      <c r="D204" s="98" t="s">
        <v>357</v>
      </c>
      <c r="E204" s="98">
        <v>0</v>
      </c>
      <c r="F204" s="135" t="s">
        <v>72</v>
      </c>
      <c r="G204" s="100">
        <v>0</v>
      </c>
      <c r="H204" s="101">
        <f t="shared" ref="H204:H210" si="43">E204*G204</f>
        <v>0</v>
      </c>
      <c r="I204" s="102">
        <f t="shared" ref="I204:I212" si="44">IF($I$4=0, 0, H204/$I$4)</f>
        <v>0</v>
      </c>
      <c r="K204" s="97"/>
      <c r="L204" s="148">
        <f>Table135[[#This Row],[Total]]</f>
        <v>0</v>
      </c>
    </row>
    <row r="205" spans="3:12" ht="13.5" x14ac:dyDescent="0.25">
      <c r="C205" s="97" t="s">
        <v>358</v>
      </c>
      <c r="D205" s="98" t="s">
        <v>359</v>
      </c>
      <c r="E205" s="98">
        <v>1</v>
      </c>
      <c r="F205" s="135" t="s">
        <v>72</v>
      </c>
      <c r="G205" s="100">
        <v>0</v>
      </c>
      <c r="H205" s="101">
        <f t="shared" si="43"/>
        <v>0</v>
      </c>
      <c r="I205" s="102">
        <f t="shared" si="44"/>
        <v>0</v>
      </c>
      <c r="K205" s="97"/>
      <c r="L205" s="148">
        <f>Table135[[#This Row],[Total]]</f>
        <v>0</v>
      </c>
    </row>
    <row r="206" spans="3:12" ht="13.5" x14ac:dyDescent="0.25">
      <c r="C206" s="97" t="s">
        <v>360</v>
      </c>
      <c r="D206" s="98" t="s">
        <v>361</v>
      </c>
      <c r="E206" s="98">
        <v>100</v>
      </c>
      <c r="F206" s="135" t="s">
        <v>25</v>
      </c>
      <c r="G206" s="100">
        <v>0</v>
      </c>
      <c r="H206" s="101">
        <f t="shared" si="43"/>
        <v>0</v>
      </c>
      <c r="I206" s="102">
        <f t="shared" si="44"/>
        <v>0</v>
      </c>
      <c r="K206" s="97"/>
      <c r="L206" s="148">
        <f>Table135[[#This Row],[Total]]</f>
        <v>0</v>
      </c>
    </row>
    <row r="207" spans="3:12" ht="13.5" x14ac:dyDescent="0.25">
      <c r="C207" s="97" t="s">
        <v>362</v>
      </c>
      <c r="D207" s="98" t="s">
        <v>363</v>
      </c>
      <c r="E207" s="98">
        <v>3</v>
      </c>
      <c r="F207" s="135" t="s">
        <v>25</v>
      </c>
      <c r="G207" s="100">
        <v>0</v>
      </c>
      <c r="H207" s="101">
        <f t="shared" si="43"/>
        <v>0</v>
      </c>
      <c r="I207" s="102">
        <f t="shared" si="44"/>
        <v>0</v>
      </c>
      <c r="K207" s="97"/>
      <c r="L207" s="148">
        <f>Table135[[#This Row],[Total]]</f>
        <v>0</v>
      </c>
    </row>
    <row r="208" spans="3:12" ht="13.5" x14ac:dyDescent="0.25">
      <c r="C208" s="97" t="s">
        <v>364</v>
      </c>
      <c r="D208" s="98" t="s">
        <v>365</v>
      </c>
      <c r="E208" s="98">
        <v>0</v>
      </c>
      <c r="F208" s="135" t="s">
        <v>72</v>
      </c>
      <c r="G208" s="100">
        <v>0</v>
      </c>
      <c r="H208" s="101">
        <f t="shared" si="43"/>
        <v>0</v>
      </c>
      <c r="I208" s="102">
        <f t="shared" si="44"/>
        <v>0</v>
      </c>
      <c r="K208" s="97"/>
      <c r="L208" s="148">
        <f>Table135[[#This Row],[Total]]</f>
        <v>0</v>
      </c>
    </row>
    <row r="209" spans="3:12" ht="13.5" x14ac:dyDescent="0.25">
      <c r="C209" s="97" t="s">
        <v>366</v>
      </c>
      <c r="D209" s="98" t="s">
        <v>367</v>
      </c>
      <c r="E209" s="98">
        <v>0</v>
      </c>
      <c r="F209" s="135" t="s">
        <v>72</v>
      </c>
      <c r="G209" s="100">
        <v>0</v>
      </c>
      <c r="H209" s="101">
        <f t="shared" si="43"/>
        <v>0</v>
      </c>
      <c r="I209" s="102">
        <f t="shared" si="44"/>
        <v>0</v>
      </c>
      <c r="K209" s="97"/>
      <c r="L209" s="148">
        <f>Table135[[#This Row],[Total]]</f>
        <v>0</v>
      </c>
    </row>
    <row r="210" spans="3:12" ht="13.5" x14ac:dyDescent="0.25">
      <c r="C210" s="97" t="s">
        <v>368</v>
      </c>
      <c r="D210" s="98" t="s">
        <v>369</v>
      </c>
      <c r="E210" s="98">
        <v>0</v>
      </c>
      <c r="F210" s="135" t="s">
        <v>72</v>
      </c>
      <c r="G210" s="100">
        <v>0</v>
      </c>
      <c r="H210" s="101">
        <f t="shared" si="43"/>
        <v>0</v>
      </c>
      <c r="I210" s="102">
        <f t="shared" si="44"/>
        <v>0</v>
      </c>
      <c r="K210" s="97"/>
      <c r="L210" s="148">
        <f>Table135[[#This Row],[Total]]</f>
        <v>0</v>
      </c>
    </row>
    <row r="211" spans="3:12" ht="16" x14ac:dyDescent="0.35">
      <c r="C211" s="121"/>
      <c r="D211" s="122"/>
      <c r="E211" s="122"/>
      <c r="F211" s="136"/>
      <c r="G211" s="126" t="s">
        <v>870</v>
      </c>
      <c r="H211" s="123">
        <f>SUM(H204:H210)</f>
        <v>0</v>
      </c>
      <c r="I211" s="124">
        <f t="shared" si="44"/>
        <v>0</v>
      </c>
      <c r="K211" s="125"/>
      <c r="L211" s="123">
        <f>SUM(L204:L210)</f>
        <v>0</v>
      </c>
    </row>
    <row r="212" spans="3:12" ht="18" thickBot="1" x14ac:dyDescent="0.4">
      <c r="C212" s="118"/>
      <c r="D212" s="119"/>
      <c r="E212" s="119"/>
      <c r="F212" s="137"/>
      <c r="G212" s="119" t="s">
        <v>871</v>
      </c>
      <c r="H212" s="120">
        <f>SUM(H211)</f>
        <v>0</v>
      </c>
      <c r="I212" s="127">
        <f t="shared" si="44"/>
        <v>0</v>
      </c>
      <c r="K212" s="140"/>
      <c r="L212" s="120">
        <f>SUM(L211)</f>
        <v>0</v>
      </c>
    </row>
    <row r="213" spans="3:12" ht="17.5" x14ac:dyDescent="0.35">
      <c r="C213" s="116" t="s">
        <v>872</v>
      </c>
      <c r="D213" s="117"/>
      <c r="E213" s="117"/>
      <c r="F213" s="138"/>
      <c r="G213" s="117"/>
      <c r="H213" s="128"/>
      <c r="I213" s="129"/>
      <c r="K213" s="141"/>
      <c r="L213" s="149"/>
    </row>
    <row r="214" spans="3:12" ht="13.5" x14ac:dyDescent="0.25">
      <c r="C214" s="97" t="s">
        <v>370</v>
      </c>
      <c r="D214" s="98" t="s">
        <v>371</v>
      </c>
      <c r="E214" s="98">
        <v>100</v>
      </c>
      <c r="F214" s="135" t="s">
        <v>25</v>
      </c>
      <c r="G214" s="100">
        <v>0</v>
      </c>
      <c r="H214" s="101">
        <f t="shared" ref="H214:H221" si="45">E214*G214</f>
        <v>0</v>
      </c>
      <c r="I214" s="102">
        <f t="shared" ref="I214:I223" si="46">IF($I$4=0, 0, H214/$I$4)</f>
        <v>0</v>
      </c>
      <c r="K214" s="97"/>
      <c r="L214" s="148">
        <f>Table135[[#This Row],[Total]]</f>
        <v>0</v>
      </c>
    </row>
    <row r="215" spans="3:12" ht="13.5" x14ac:dyDescent="0.25">
      <c r="C215" s="97" t="s">
        <v>372</v>
      </c>
      <c r="D215" s="98" t="s">
        <v>873</v>
      </c>
      <c r="E215" s="98">
        <v>100</v>
      </c>
      <c r="F215" s="135" t="s">
        <v>25</v>
      </c>
      <c r="G215" s="100">
        <v>0</v>
      </c>
      <c r="H215" s="101">
        <f t="shared" si="45"/>
        <v>0</v>
      </c>
      <c r="I215" s="102">
        <f t="shared" si="46"/>
        <v>0</v>
      </c>
      <c r="K215" s="97"/>
      <c r="L215" s="148">
        <f>Table135[[#This Row],[Total]]</f>
        <v>0</v>
      </c>
    </row>
    <row r="216" spans="3:12" ht="13.5" x14ac:dyDescent="0.25">
      <c r="C216" s="97" t="s">
        <v>372</v>
      </c>
      <c r="D216" s="98" t="s">
        <v>373</v>
      </c>
      <c r="E216" s="98">
        <v>1</v>
      </c>
      <c r="F216" s="135" t="s">
        <v>72</v>
      </c>
      <c r="G216" s="100">
        <v>0</v>
      </c>
      <c r="H216" s="101">
        <f t="shared" si="45"/>
        <v>0</v>
      </c>
      <c r="I216" s="102">
        <f t="shared" si="46"/>
        <v>0</v>
      </c>
      <c r="K216" s="97"/>
      <c r="L216" s="148">
        <f>Table135[[#This Row],[Total]]</f>
        <v>0</v>
      </c>
    </row>
    <row r="217" spans="3:12" ht="13.5" x14ac:dyDescent="0.25">
      <c r="C217" s="97" t="s">
        <v>374</v>
      </c>
      <c r="D217" s="98" t="s">
        <v>375</v>
      </c>
      <c r="E217" s="98">
        <v>100</v>
      </c>
      <c r="F217" s="135" t="s">
        <v>25</v>
      </c>
      <c r="G217" s="100">
        <v>0</v>
      </c>
      <c r="H217" s="101">
        <f t="shared" si="45"/>
        <v>0</v>
      </c>
      <c r="I217" s="102">
        <f t="shared" si="46"/>
        <v>0</v>
      </c>
      <c r="K217" s="97"/>
      <c r="L217" s="148">
        <f>Table135[[#This Row],[Total]]</f>
        <v>0</v>
      </c>
    </row>
    <row r="218" spans="3:12" ht="13.5" x14ac:dyDescent="0.25">
      <c r="C218" s="97" t="s">
        <v>376</v>
      </c>
      <c r="D218" s="98" t="s">
        <v>377</v>
      </c>
      <c r="E218" s="98">
        <v>1</v>
      </c>
      <c r="F218" s="135" t="s">
        <v>72</v>
      </c>
      <c r="G218" s="100">
        <v>0</v>
      </c>
      <c r="H218" s="101">
        <f t="shared" si="45"/>
        <v>0</v>
      </c>
      <c r="I218" s="102">
        <f t="shared" si="46"/>
        <v>0</v>
      </c>
      <c r="K218" s="97"/>
      <c r="L218" s="148">
        <f>Table135[[#This Row],[Total]]</f>
        <v>0</v>
      </c>
    </row>
    <row r="219" spans="3:12" ht="13.5" x14ac:dyDescent="0.25">
      <c r="C219" s="97" t="s">
        <v>378</v>
      </c>
      <c r="D219" s="98" t="s">
        <v>874</v>
      </c>
      <c r="E219" s="98">
        <v>0</v>
      </c>
      <c r="F219" s="135" t="s">
        <v>72</v>
      </c>
      <c r="G219" s="100">
        <v>0</v>
      </c>
      <c r="H219" s="101">
        <f t="shared" si="45"/>
        <v>0</v>
      </c>
      <c r="I219" s="102">
        <f t="shared" si="46"/>
        <v>0</v>
      </c>
      <c r="K219" s="97"/>
      <c r="L219" s="148">
        <f>Table135[[#This Row],[Total]]</f>
        <v>0</v>
      </c>
    </row>
    <row r="220" spans="3:12" ht="13.5" x14ac:dyDescent="0.25">
      <c r="C220" s="97" t="s">
        <v>380</v>
      </c>
      <c r="D220" s="98" t="s">
        <v>875</v>
      </c>
      <c r="E220" s="98">
        <v>0</v>
      </c>
      <c r="F220" s="135" t="s">
        <v>72</v>
      </c>
      <c r="G220" s="100">
        <v>0</v>
      </c>
      <c r="H220" s="101">
        <f t="shared" si="45"/>
        <v>0</v>
      </c>
      <c r="I220" s="102">
        <f t="shared" si="46"/>
        <v>0</v>
      </c>
      <c r="K220" s="97"/>
      <c r="L220" s="148">
        <f>Table135[[#This Row],[Total]]</f>
        <v>0</v>
      </c>
    </row>
    <row r="221" spans="3:12" ht="13.5" x14ac:dyDescent="0.25">
      <c r="C221" s="97" t="s">
        <v>382</v>
      </c>
      <c r="D221" s="98" t="s">
        <v>876</v>
      </c>
      <c r="E221" s="98">
        <v>1</v>
      </c>
      <c r="F221" s="135" t="s">
        <v>72</v>
      </c>
      <c r="G221" s="100">
        <v>0</v>
      </c>
      <c r="H221" s="101">
        <f t="shared" si="45"/>
        <v>0</v>
      </c>
      <c r="I221" s="102">
        <f t="shared" si="46"/>
        <v>0</v>
      </c>
      <c r="K221" s="97"/>
      <c r="L221" s="148">
        <f>Table135[[#This Row],[Total]]</f>
        <v>0</v>
      </c>
    </row>
    <row r="222" spans="3:12" ht="16" x14ac:dyDescent="0.35">
      <c r="C222" s="121"/>
      <c r="D222" s="122"/>
      <c r="E222" s="122"/>
      <c r="F222" s="136"/>
      <c r="G222" s="126" t="s">
        <v>877</v>
      </c>
      <c r="H222" s="123">
        <f>SUM(H214:H221)</f>
        <v>0</v>
      </c>
      <c r="I222" s="124">
        <f t="shared" si="46"/>
        <v>0</v>
      </c>
      <c r="K222" s="125"/>
      <c r="L222" s="123">
        <f>SUM(L214:L221)</f>
        <v>0</v>
      </c>
    </row>
    <row r="223" spans="3:12" ht="18" thickBot="1" x14ac:dyDescent="0.4">
      <c r="C223" s="118"/>
      <c r="D223" s="119"/>
      <c r="E223" s="119"/>
      <c r="F223" s="137"/>
      <c r="G223" s="119" t="s">
        <v>878</v>
      </c>
      <c r="H223" s="120">
        <f>SUM(H222)</f>
        <v>0</v>
      </c>
      <c r="I223" s="127">
        <f t="shared" si="46"/>
        <v>0</v>
      </c>
      <c r="K223" s="140"/>
      <c r="L223" s="120">
        <f>SUM(L222)</f>
        <v>0</v>
      </c>
    </row>
    <row r="224" spans="3:12" ht="17.5" x14ac:dyDescent="0.35">
      <c r="C224" s="116" t="s">
        <v>879</v>
      </c>
      <c r="D224" s="117"/>
      <c r="E224" s="117"/>
      <c r="F224" s="138"/>
      <c r="G224" s="117"/>
      <c r="H224" s="128"/>
      <c r="I224" s="129"/>
      <c r="K224" s="141"/>
      <c r="L224" s="149"/>
    </row>
    <row r="225" spans="3:12" ht="13.5" x14ac:dyDescent="0.25">
      <c r="C225" s="97" t="s">
        <v>384</v>
      </c>
      <c r="D225" s="98" t="s">
        <v>385</v>
      </c>
      <c r="E225" s="98">
        <v>1</v>
      </c>
      <c r="F225" s="135" t="s">
        <v>72</v>
      </c>
      <c r="G225" s="100">
        <v>0</v>
      </c>
      <c r="H225" s="101">
        <f t="shared" ref="H225:H228" si="47">E225*G225</f>
        <v>0</v>
      </c>
      <c r="I225" s="102">
        <f t="shared" ref="I225:I230" si="48">IF($I$4=0, 0, H225/$I$4)</f>
        <v>0</v>
      </c>
      <c r="K225" s="97"/>
      <c r="L225" s="148">
        <f>Table135[[#This Row],[Total]]</f>
        <v>0</v>
      </c>
    </row>
    <row r="226" spans="3:12" ht="13.5" x14ac:dyDescent="0.25">
      <c r="C226" s="97" t="s">
        <v>384</v>
      </c>
      <c r="D226" s="98" t="s">
        <v>386</v>
      </c>
      <c r="E226" s="98">
        <v>1</v>
      </c>
      <c r="F226" s="135" t="s">
        <v>72</v>
      </c>
      <c r="G226" s="100">
        <v>0</v>
      </c>
      <c r="H226" s="101">
        <f t="shared" si="47"/>
        <v>0</v>
      </c>
      <c r="I226" s="102">
        <f t="shared" si="48"/>
        <v>0</v>
      </c>
      <c r="K226" s="97"/>
      <c r="L226" s="148">
        <f>Table135[[#This Row],[Total]]</f>
        <v>0</v>
      </c>
    </row>
    <row r="227" spans="3:12" ht="13.5" x14ac:dyDescent="0.25">
      <c r="C227" s="97" t="s">
        <v>387</v>
      </c>
      <c r="D227" s="98" t="s">
        <v>388</v>
      </c>
      <c r="E227" s="98">
        <v>2</v>
      </c>
      <c r="F227" s="135" t="s">
        <v>72</v>
      </c>
      <c r="G227" s="100">
        <v>0</v>
      </c>
      <c r="H227" s="101">
        <f t="shared" si="47"/>
        <v>0</v>
      </c>
      <c r="I227" s="102">
        <f t="shared" si="48"/>
        <v>0</v>
      </c>
      <c r="K227" s="97"/>
      <c r="L227" s="148">
        <f>Table135[[#This Row],[Total]]</f>
        <v>0</v>
      </c>
    </row>
    <row r="228" spans="3:12" ht="13.5" x14ac:dyDescent="0.25">
      <c r="C228" s="97" t="s">
        <v>389</v>
      </c>
      <c r="D228" s="98" t="s">
        <v>390</v>
      </c>
      <c r="E228" s="98">
        <v>1</v>
      </c>
      <c r="F228" s="135" t="s">
        <v>72</v>
      </c>
      <c r="G228" s="100">
        <v>0</v>
      </c>
      <c r="H228" s="101">
        <f t="shared" si="47"/>
        <v>0</v>
      </c>
      <c r="I228" s="102">
        <f t="shared" si="48"/>
        <v>0</v>
      </c>
      <c r="K228" s="97"/>
      <c r="L228" s="148">
        <f>Table135[[#This Row],[Total]]</f>
        <v>0</v>
      </c>
    </row>
    <row r="229" spans="3:12" ht="16" x14ac:dyDescent="0.35">
      <c r="C229" s="121"/>
      <c r="D229" s="122"/>
      <c r="E229" s="122"/>
      <c r="F229" s="136"/>
      <c r="G229" s="126" t="s">
        <v>880</v>
      </c>
      <c r="H229" s="123">
        <f>SUM(H225:H228)</f>
        <v>0</v>
      </c>
      <c r="I229" s="124">
        <f t="shared" si="48"/>
        <v>0</v>
      </c>
      <c r="K229" s="125"/>
      <c r="L229" s="123">
        <f>SUM(L225:L228)</f>
        <v>0</v>
      </c>
    </row>
    <row r="230" spans="3:12" ht="18" thickBot="1" x14ac:dyDescent="0.4">
      <c r="C230" s="118"/>
      <c r="D230" s="119"/>
      <c r="E230" s="119"/>
      <c r="F230" s="137"/>
      <c r="G230" s="119" t="s">
        <v>881</v>
      </c>
      <c r="H230" s="120">
        <f>SUM(H229)</f>
        <v>0</v>
      </c>
      <c r="I230" s="127">
        <f t="shared" si="48"/>
        <v>0</v>
      </c>
      <c r="K230" s="140"/>
      <c r="L230" s="120">
        <f>SUM(L229)</f>
        <v>0</v>
      </c>
    </row>
    <row r="231" spans="3:12" ht="17.5" x14ac:dyDescent="0.35">
      <c r="C231" s="116" t="s">
        <v>882</v>
      </c>
      <c r="D231" s="117"/>
      <c r="E231" s="117"/>
      <c r="F231" s="138"/>
      <c r="G231" s="117"/>
      <c r="H231" s="128"/>
      <c r="I231" s="129"/>
      <c r="K231" s="141"/>
      <c r="L231" s="149"/>
    </row>
    <row r="232" spans="3:12" ht="13.5" x14ac:dyDescent="0.25">
      <c r="C232" s="97" t="s">
        <v>392</v>
      </c>
      <c r="D232" s="98" t="s">
        <v>883</v>
      </c>
      <c r="E232" s="98">
        <v>0</v>
      </c>
      <c r="F232" s="135" t="s">
        <v>25</v>
      </c>
      <c r="G232" s="100">
        <v>0</v>
      </c>
      <c r="H232" s="101">
        <f t="shared" ref="H232:H235" si="49">E232*G232</f>
        <v>0</v>
      </c>
      <c r="I232" s="102">
        <f t="shared" ref="I232:I237" si="50">IF($I$4=0, 0, H232/$I$4)</f>
        <v>0</v>
      </c>
      <c r="K232" s="97"/>
      <c r="L232" s="148">
        <f>Table135[[#This Row],[Total]]</f>
        <v>0</v>
      </c>
    </row>
    <row r="233" spans="3:12" ht="13.5" x14ac:dyDescent="0.25">
      <c r="C233" s="97" t="s">
        <v>394</v>
      </c>
      <c r="D233" s="98" t="s">
        <v>395</v>
      </c>
      <c r="E233" s="98">
        <v>14</v>
      </c>
      <c r="F233" s="135" t="s">
        <v>884</v>
      </c>
      <c r="G233" s="100">
        <v>0</v>
      </c>
      <c r="H233" s="101">
        <f t="shared" si="49"/>
        <v>0</v>
      </c>
      <c r="I233" s="102">
        <f t="shared" si="50"/>
        <v>0</v>
      </c>
      <c r="K233" s="97"/>
      <c r="L233" s="148">
        <f>Table135[[#This Row],[Total]]</f>
        <v>0</v>
      </c>
    </row>
    <row r="234" spans="3:12" ht="13.5" x14ac:dyDescent="0.25">
      <c r="C234" s="97" t="s">
        <v>396</v>
      </c>
      <c r="D234" s="98" t="s">
        <v>397</v>
      </c>
      <c r="E234" s="98">
        <v>0</v>
      </c>
      <c r="F234" s="135" t="s">
        <v>25</v>
      </c>
      <c r="G234" s="100">
        <v>0</v>
      </c>
      <c r="H234" s="101">
        <f t="shared" si="49"/>
        <v>0</v>
      </c>
      <c r="I234" s="102">
        <f t="shared" si="50"/>
        <v>0</v>
      </c>
      <c r="K234" s="97"/>
      <c r="L234" s="148">
        <f>Table135[[#This Row],[Total]]</f>
        <v>0</v>
      </c>
    </row>
    <row r="235" spans="3:12" ht="13.5" x14ac:dyDescent="0.25">
      <c r="C235" s="97" t="s">
        <v>398</v>
      </c>
      <c r="D235" s="98" t="s">
        <v>399</v>
      </c>
      <c r="E235" s="98">
        <v>1</v>
      </c>
      <c r="F235" s="135" t="s">
        <v>25</v>
      </c>
      <c r="G235" s="100">
        <v>0</v>
      </c>
      <c r="H235" s="101">
        <f t="shared" si="49"/>
        <v>0</v>
      </c>
      <c r="I235" s="102">
        <f t="shared" si="50"/>
        <v>0</v>
      </c>
      <c r="K235" s="97"/>
      <c r="L235" s="148">
        <f>Table135[[#This Row],[Total]]</f>
        <v>0</v>
      </c>
    </row>
    <row r="236" spans="3:12" ht="16" x14ac:dyDescent="0.35">
      <c r="C236" s="121"/>
      <c r="D236" s="122"/>
      <c r="E236" s="122"/>
      <c r="F236" s="136"/>
      <c r="G236" s="126" t="s">
        <v>885</v>
      </c>
      <c r="H236" s="123">
        <f>SUM(H232:H235)</f>
        <v>0</v>
      </c>
      <c r="I236" s="124">
        <f t="shared" si="50"/>
        <v>0</v>
      </c>
      <c r="K236" s="125"/>
      <c r="L236" s="123">
        <f>SUM(L232:L235)</f>
        <v>0</v>
      </c>
    </row>
    <row r="237" spans="3:12" ht="18" thickBot="1" x14ac:dyDescent="0.4">
      <c r="C237" s="118"/>
      <c r="D237" s="119"/>
      <c r="E237" s="119"/>
      <c r="F237" s="137"/>
      <c r="G237" s="119" t="s">
        <v>886</v>
      </c>
      <c r="H237" s="120">
        <f>SUM(H236)</f>
        <v>0</v>
      </c>
      <c r="I237" s="127">
        <f t="shared" si="50"/>
        <v>0</v>
      </c>
      <c r="K237" s="140"/>
      <c r="L237" s="120">
        <f>SUM(L236)</f>
        <v>0</v>
      </c>
    </row>
    <row r="238" spans="3:12" ht="17.5" x14ac:dyDescent="0.35">
      <c r="C238" s="116" t="s">
        <v>887</v>
      </c>
      <c r="D238" s="117"/>
      <c r="E238" s="117"/>
      <c r="F238" s="138"/>
      <c r="G238" s="117"/>
      <c r="H238" s="128"/>
      <c r="I238" s="129"/>
      <c r="K238" s="141"/>
      <c r="L238" s="149"/>
    </row>
    <row r="239" spans="3:12" ht="13.5" x14ac:dyDescent="0.25">
      <c r="C239" s="97" t="s">
        <v>400</v>
      </c>
      <c r="D239" s="98" t="s">
        <v>401</v>
      </c>
      <c r="E239" s="98">
        <v>100</v>
      </c>
      <c r="F239" s="135" t="s">
        <v>25</v>
      </c>
      <c r="G239" s="100">
        <v>0</v>
      </c>
      <c r="H239" s="101">
        <f t="shared" ref="H239:H240" si="51">E239*G239</f>
        <v>0</v>
      </c>
      <c r="I239" s="102">
        <f t="shared" ref="I239:I242" si="52">IF($I$4=0, 0, H239/$I$4)</f>
        <v>0</v>
      </c>
      <c r="K239" s="97"/>
      <c r="L239" s="148">
        <f>Table135[[#This Row],[Total]]</f>
        <v>0</v>
      </c>
    </row>
    <row r="240" spans="3:12" ht="13.5" x14ac:dyDescent="0.25">
      <c r="C240" s="97" t="s">
        <v>400</v>
      </c>
      <c r="D240" s="98" t="s">
        <v>402</v>
      </c>
      <c r="E240" s="98">
        <v>1</v>
      </c>
      <c r="F240" s="135" t="s">
        <v>72</v>
      </c>
      <c r="G240" s="100">
        <v>0</v>
      </c>
      <c r="H240" s="101">
        <f t="shared" si="51"/>
        <v>0</v>
      </c>
      <c r="I240" s="102">
        <f t="shared" si="52"/>
        <v>0</v>
      </c>
      <c r="K240" s="97"/>
      <c r="L240" s="148">
        <f>Table135[[#This Row],[Total]]</f>
        <v>0</v>
      </c>
    </row>
    <row r="241" spans="3:12" ht="16" x14ac:dyDescent="0.35">
      <c r="C241" s="121"/>
      <c r="D241" s="122"/>
      <c r="E241" s="122"/>
      <c r="F241" s="136"/>
      <c r="G241" s="126" t="s">
        <v>888</v>
      </c>
      <c r="H241" s="123">
        <f>SUM(H239:H240)</f>
        <v>0</v>
      </c>
      <c r="I241" s="124">
        <f t="shared" si="52"/>
        <v>0</v>
      </c>
      <c r="K241" s="125"/>
      <c r="L241" s="123">
        <f>SUM(L239:L240)</f>
        <v>0</v>
      </c>
    </row>
    <row r="242" spans="3:12" ht="18" thickBot="1" x14ac:dyDescent="0.4">
      <c r="C242" s="118"/>
      <c r="D242" s="119"/>
      <c r="E242" s="119"/>
      <c r="F242" s="137"/>
      <c r="G242" s="119" t="s">
        <v>889</v>
      </c>
      <c r="H242" s="120">
        <f>SUM(H241)</f>
        <v>0</v>
      </c>
      <c r="I242" s="127">
        <f t="shared" si="52"/>
        <v>0</v>
      </c>
      <c r="K242" s="140"/>
      <c r="L242" s="120">
        <f>SUM(L241)</f>
        <v>0</v>
      </c>
    </row>
    <row r="243" spans="3:12" ht="17.5" x14ac:dyDescent="0.35">
      <c r="C243" s="116" t="s">
        <v>890</v>
      </c>
      <c r="D243" s="117"/>
      <c r="E243" s="117"/>
      <c r="F243" s="138"/>
      <c r="G243" s="117"/>
      <c r="H243" s="128"/>
      <c r="I243" s="129"/>
      <c r="K243" s="141"/>
      <c r="L243" s="149"/>
    </row>
    <row r="244" spans="3:12" ht="13.5" x14ac:dyDescent="0.25">
      <c r="C244" s="97" t="s">
        <v>403</v>
      </c>
      <c r="D244" s="98" t="s">
        <v>404</v>
      </c>
      <c r="E244" s="98">
        <v>100</v>
      </c>
      <c r="F244" s="135" t="s">
        <v>25</v>
      </c>
      <c r="G244" s="100">
        <v>0</v>
      </c>
      <c r="H244" s="101">
        <f t="shared" ref="H244:H245" si="53">E244*G244</f>
        <v>0</v>
      </c>
      <c r="I244" s="102">
        <f t="shared" ref="I244:I247" si="54">IF($I$4=0, 0, H244/$I$4)</f>
        <v>0</v>
      </c>
      <c r="K244" s="97"/>
      <c r="L244" s="148">
        <f>Table135[[#This Row],[Total]]</f>
        <v>0</v>
      </c>
    </row>
    <row r="245" spans="3:12" ht="13.5" x14ac:dyDescent="0.25">
      <c r="C245" s="97" t="s">
        <v>403</v>
      </c>
      <c r="D245" s="98" t="s">
        <v>405</v>
      </c>
      <c r="E245" s="98">
        <v>1E-3</v>
      </c>
      <c r="F245" s="135" t="s">
        <v>72</v>
      </c>
      <c r="G245" s="100">
        <v>0</v>
      </c>
      <c r="H245" s="101">
        <f t="shared" si="53"/>
        <v>0</v>
      </c>
      <c r="I245" s="102">
        <f t="shared" si="54"/>
        <v>0</v>
      </c>
      <c r="K245" s="97"/>
      <c r="L245" s="148">
        <f>Table135[[#This Row],[Total]]</f>
        <v>0</v>
      </c>
    </row>
    <row r="246" spans="3:12" ht="16" x14ac:dyDescent="0.35">
      <c r="C246" s="121"/>
      <c r="D246" s="122"/>
      <c r="E246" s="122"/>
      <c r="F246" s="136"/>
      <c r="G246" s="126" t="s">
        <v>891</v>
      </c>
      <c r="H246" s="123">
        <f>SUM(H244:H245)</f>
        <v>0</v>
      </c>
      <c r="I246" s="124">
        <f t="shared" si="54"/>
        <v>0</v>
      </c>
      <c r="K246" s="125"/>
      <c r="L246" s="123">
        <f>SUM(L244:L245)</f>
        <v>0</v>
      </c>
    </row>
    <row r="247" spans="3:12" ht="18" thickBot="1" x14ac:dyDescent="0.4">
      <c r="C247" s="118"/>
      <c r="D247" s="119"/>
      <c r="E247" s="119"/>
      <c r="F247" s="137"/>
      <c r="G247" s="119" t="s">
        <v>892</v>
      </c>
      <c r="H247" s="120">
        <f>SUM(H246)</f>
        <v>0</v>
      </c>
      <c r="I247" s="127">
        <f t="shared" si="54"/>
        <v>0</v>
      </c>
      <c r="K247" s="140"/>
      <c r="L247" s="120">
        <f>SUM(L246)</f>
        <v>0</v>
      </c>
    </row>
    <row r="248" spans="3:12" ht="17.5" x14ac:dyDescent="0.35">
      <c r="C248" s="116" t="s">
        <v>893</v>
      </c>
      <c r="D248" s="117"/>
      <c r="E248" s="117"/>
      <c r="F248" s="138"/>
      <c r="G248" s="117"/>
      <c r="H248" s="128"/>
      <c r="I248" s="129"/>
      <c r="K248" s="141"/>
      <c r="L248" s="149"/>
    </row>
    <row r="249" spans="3:12" ht="13.5" x14ac:dyDescent="0.25">
      <c r="C249" s="97" t="s">
        <v>406</v>
      </c>
      <c r="D249" s="98" t="s">
        <v>894</v>
      </c>
      <c r="E249" s="98">
        <v>100</v>
      </c>
      <c r="F249" s="135" t="s">
        <v>25</v>
      </c>
      <c r="G249" s="100">
        <v>0</v>
      </c>
      <c r="H249" s="101">
        <f t="shared" ref="H249:H250" si="55">E249*G249</f>
        <v>0</v>
      </c>
      <c r="I249" s="102">
        <f t="shared" ref="I249:I252" si="56">IF($I$4=0, 0, H249/$I$4)</f>
        <v>0</v>
      </c>
      <c r="K249" s="97"/>
      <c r="L249" s="148">
        <f>Table135[[#This Row],[Total]]</f>
        <v>0</v>
      </c>
    </row>
    <row r="250" spans="3:12" ht="13.5" x14ac:dyDescent="0.25">
      <c r="C250" s="97" t="s">
        <v>406</v>
      </c>
      <c r="D250" s="98" t="s">
        <v>895</v>
      </c>
      <c r="E250" s="98">
        <v>0</v>
      </c>
      <c r="F250" s="135" t="s">
        <v>72</v>
      </c>
      <c r="G250" s="100">
        <v>0</v>
      </c>
      <c r="H250" s="101">
        <f t="shared" si="55"/>
        <v>0</v>
      </c>
      <c r="I250" s="102">
        <f t="shared" si="56"/>
        <v>0</v>
      </c>
      <c r="K250" s="97"/>
      <c r="L250" s="148">
        <f>Table135[[#This Row],[Total]]</f>
        <v>0</v>
      </c>
    </row>
    <row r="251" spans="3:12" ht="16" x14ac:dyDescent="0.35">
      <c r="C251" s="121"/>
      <c r="D251" s="122"/>
      <c r="E251" s="122"/>
      <c r="F251" s="136"/>
      <c r="G251" s="126" t="s">
        <v>896</v>
      </c>
      <c r="H251" s="123">
        <f>SUM(H249:H250)</f>
        <v>0</v>
      </c>
      <c r="I251" s="124">
        <f t="shared" si="56"/>
        <v>0</v>
      </c>
      <c r="K251" s="125"/>
      <c r="L251" s="123">
        <f>SUM(L249:L250)</f>
        <v>0</v>
      </c>
    </row>
    <row r="252" spans="3:12" ht="18" thickBot="1" x14ac:dyDescent="0.4">
      <c r="C252" s="118"/>
      <c r="D252" s="119"/>
      <c r="E252" s="119"/>
      <c r="F252" s="137"/>
      <c r="G252" s="119" t="s">
        <v>897</v>
      </c>
      <c r="H252" s="120">
        <f>SUM(H251)</f>
        <v>0</v>
      </c>
      <c r="I252" s="127">
        <f t="shared" si="56"/>
        <v>0</v>
      </c>
      <c r="K252" s="140"/>
      <c r="L252" s="120">
        <f>SUM(L251)</f>
        <v>0</v>
      </c>
    </row>
    <row r="253" spans="3:12" ht="17.5" x14ac:dyDescent="0.35">
      <c r="C253" s="116" t="s">
        <v>898</v>
      </c>
      <c r="D253" s="117"/>
      <c r="E253" s="117"/>
      <c r="F253" s="138"/>
      <c r="G253" s="117"/>
      <c r="H253" s="128"/>
      <c r="I253" s="129"/>
      <c r="K253" s="141"/>
      <c r="L253" s="149"/>
    </row>
    <row r="254" spans="3:12" ht="13.5" x14ac:dyDescent="0.25">
      <c r="C254" s="105" t="s">
        <v>407</v>
      </c>
      <c r="D254" s="106" t="s">
        <v>408</v>
      </c>
      <c r="E254" s="106">
        <v>100</v>
      </c>
      <c r="F254" s="139" t="s">
        <v>25</v>
      </c>
      <c r="G254" s="100">
        <v>0</v>
      </c>
      <c r="H254" s="101">
        <f t="shared" ref="H254:H255" si="57">E254*G254</f>
        <v>0</v>
      </c>
      <c r="I254" s="102">
        <f t="shared" ref="I254:I257" si="58">IF($I$4=0, 0, H254/$I$4)</f>
        <v>0</v>
      </c>
      <c r="K254" s="97"/>
      <c r="L254" s="148">
        <f>Table135[[#This Row],[Total]]</f>
        <v>0</v>
      </c>
    </row>
    <row r="255" spans="3:12" ht="13.5" x14ac:dyDescent="0.25">
      <c r="C255" s="105" t="s">
        <v>407</v>
      </c>
      <c r="D255" s="106" t="s">
        <v>899</v>
      </c>
      <c r="E255" s="106">
        <v>0</v>
      </c>
      <c r="F255" s="139" t="s">
        <v>27</v>
      </c>
      <c r="G255" s="100">
        <v>0</v>
      </c>
      <c r="H255" s="101">
        <f t="shared" si="57"/>
        <v>0</v>
      </c>
      <c r="I255" s="102">
        <f t="shared" si="58"/>
        <v>0</v>
      </c>
      <c r="K255" s="97"/>
      <c r="L255" s="148">
        <f>Table135[[#This Row],[Total]]</f>
        <v>0</v>
      </c>
    </row>
    <row r="256" spans="3:12" ht="16" x14ac:dyDescent="0.35">
      <c r="C256" s="121"/>
      <c r="D256" s="122"/>
      <c r="E256" s="122"/>
      <c r="F256" s="136"/>
      <c r="G256" s="126" t="s">
        <v>900</v>
      </c>
      <c r="H256" s="123">
        <f>SUM(H254:H255)</f>
        <v>0</v>
      </c>
      <c r="I256" s="124">
        <f t="shared" si="58"/>
        <v>0</v>
      </c>
      <c r="K256" s="125"/>
      <c r="L256" s="123">
        <f>SUM(L254:L255)</f>
        <v>0</v>
      </c>
    </row>
    <row r="257" spans="3:12" ht="18" thickBot="1" x14ac:dyDescent="0.4">
      <c r="C257" s="118"/>
      <c r="D257" s="119"/>
      <c r="E257" s="119"/>
      <c r="F257" s="137"/>
      <c r="G257" s="119" t="s">
        <v>901</v>
      </c>
      <c r="H257" s="120">
        <f>SUM(H256)</f>
        <v>0</v>
      </c>
      <c r="I257" s="127">
        <f t="shared" si="58"/>
        <v>0</v>
      </c>
      <c r="K257" s="140"/>
      <c r="L257" s="120">
        <f>SUM(L256)</f>
        <v>0</v>
      </c>
    </row>
    <row r="258" spans="3:12" ht="17.5" x14ac:dyDescent="0.35">
      <c r="C258" s="116" t="s">
        <v>902</v>
      </c>
      <c r="D258" s="117"/>
      <c r="E258" s="117"/>
      <c r="F258" s="138"/>
      <c r="G258" s="117"/>
      <c r="H258" s="128"/>
      <c r="I258" s="129"/>
      <c r="K258" s="141"/>
      <c r="L258" s="149"/>
    </row>
    <row r="259" spans="3:12" ht="13.5" x14ac:dyDescent="0.25">
      <c r="C259" s="97" t="s">
        <v>409</v>
      </c>
      <c r="D259" s="98" t="s">
        <v>410</v>
      </c>
      <c r="E259" s="98">
        <v>1</v>
      </c>
      <c r="F259" s="135" t="s">
        <v>72</v>
      </c>
      <c r="G259" s="100">
        <v>0</v>
      </c>
      <c r="H259" s="101">
        <f t="shared" ref="H259:H260" si="59">E259*G259</f>
        <v>0</v>
      </c>
      <c r="I259" s="102">
        <f t="shared" ref="I259:I262" si="60">IF($I$4=0, 0, H259/$I$4)</f>
        <v>0</v>
      </c>
      <c r="K259" s="97"/>
      <c r="L259" s="148">
        <f>Table135[[#This Row],[Total]]</f>
        <v>0</v>
      </c>
    </row>
    <row r="260" spans="3:12" ht="13.5" x14ac:dyDescent="0.25">
      <c r="C260" s="97" t="s">
        <v>411</v>
      </c>
      <c r="D260" s="98" t="s">
        <v>412</v>
      </c>
      <c r="E260" s="98">
        <v>1</v>
      </c>
      <c r="F260" s="135" t="s">
        <v>72</v>
      </c>
      <c r="G260" s="100">
        <v>0</v>
      </c>
      <c r="H260" s="101">
        <f t="shared" si="59"/>
        <v>0</v>
      </c>
      <c r="I260" s="102">
        <f t="shared" si="60"/>
        <v>0</v>
      </c>
      <c r="K260" s="97"/>
      <c r="L260" s="148">
        <f>Table135[[#This Row],[Total]]</f>
        <v>0</v>
      </c>
    </row>
    <row r="261" spans="3:12" ht="16" x14ac:dyDescent="0.35">
      <c r="C261" s="121"/>
      <c r="D261" s="122"/>
      <c r="E261" s="122"/>
      <c r="F261" s="136"/>
      <c r="G261" s="126" t="s">
        <v>903</v>
      </c>
      <c r="H261" s="123">
        <f>SUM(H259:H260)</f>
        <v>0</v>
      </c>
      <c r="I261" s="124">
        <f t="shared" si="60"/>
        <v>0</v>
      </c>
      <c r="K261" s="125"/>
      <c r="L261" s="123">
        <f>SUM(L259:L260)</f>
        <v>0</v>
      </c>
    </row>
    <row r="262" spans="3:12" ht="18" thickBot="1" x14ac:dyDescent="0.4">
      <c r="C262" s="118"/>
      <c r="D262" s="119"/>
      <c r="E262" s="119"/>
      <c r="F262" s="137"/>
      <c r="G262" s="119" t="s">
        <v>904</v>
      </c>
      <c r="H262" s="120">
        <f>SUM(H261)</f>
        <v>0</v>
      </c>
      <c r="I262" s="127">
        <f t="shared" si="60"/>
        <v>0</v>
      </c>
      <c r="K262" s="140"/>
      <c r="L262" s="120">
        <f>SUM(L261)</f>
        <v>0</v>
      </c>
    </row>
    <row r="263" spans="3:12" ht="17.5" x14ac:dyDescent="0.35">
      <c r="C263" s="116" t="s">
        <v>905</v>
      </c>
      <c r="D263" s="117"/>
      <c r="E263" s="117"/>
      <c r="F263" s="138"/>
      <c r="G263" s="117"/>
      <c r="H263" s="128"/>
      <c r="I263" s="129"/>
      <c r="K263" s="141"/>
      <c r="L263" s="149"/>
    </row>
    <row r="264" spans="3:12" ht="13.5" x14ac:dyDescent="0.25">
      <c r="C264" s="97" t="s">
        <v>413</v>
      </c>
      <c r="D264" s="98" t="s">
        <v>414</v>
      </c>
      <c r="E264" s="98">
        <v>1</v>
      </c>
      <c r="F264" s="135" t="s">
        <v>72</v>
      </c>
      <c r="G264" s="100">
        <v>0</v>
      </c>
      <c r="H264" s="101">
        <f t="shared" ref="H264:H267" si="61">E264*G264</f>
        <v>0</v>
      </c>
      <c r="I264" s="102">
        <f t="shared" ref="I264:I269" si="62">IF($I$4=0, 0, H264/$I$4)</f>
        <v>0</v>
      </c>
      <c r="K264" s="97"/>
      <c r="L264" s="148">
        <f>Table135[[#This Row],[Total]]</f>
        <v>0</v>
      </c>
    </row>
    <row r="265" spans="3:12" ht="13.5" x14ac:dyDescent="0.25">
      <c r="C265" s="97" t="s">
        <v>415</v>
      </c>
      <c r="D265" s="98" t="s">
        <v>416</v>
      </c>
      <c r="E265" s="98">
        <v>1</v>
      </c>
      <c r="F265" s="135" t="s">
        <v>72</v>
      </c>
      <c r="G265" s="100">
        <v>0</v>
      </c>
      <c r="H265" s="101">
        <f t="shared" si="61"/>
        <v>0</v>
      </c>
      <c r="I265" s="102">
        <f t="shared" si="62"/>
        <v>0</v>
      </c>
      <c r="K265" s="97"/>
      <c r="L265" s="148">
        <f>Table135[[#This Row],[Total]]</f>
        <v>0</v>
      </c>
    </row>
    <row r="266" spans="3:12" ht="13.5" x14ac:dyDescent="0.25">
      <c r="C266" s="97" t="s">
        <v>417</v>
      </c>
      <c r="D266" s="98" t="s">
        <v>418</v>
      </c>
      <c r="E266" s="98">
        <v>1</v>
      </c>
      <c r="F266" s="135" t="s">
        <v>72</v>
      </c>
      <c r="G266" s="100">
        <v>0</v>
      </c>
      <c r="H266" s="101">
        <f t="shared" si="61"/>
        <v>0</v>
      </c>
      <c r="I266" s="102">
        <f t="shared" si="62"/>
        <v>0</v>
      </c>
      <c r="K266" s="97"/>
      <c r="L266" s="148">
        <f>Table135[[#This Row],[Total]]</f>
        <v>0</v>
      </c>
    </row>
    <row r="267" spans="3:12" ht="13.5" x14ac:dyDescent="0.25">
      <c r="C267" s="97" t="s">
        <v>419</v>
      </c>
      <c r="D267" s="98" t="s">
        <v>420</v>
      </c>
      <c r="E267" s="98">
        <v>0</v>
      </c>
      <c r="F267" s="135" t="s">
        <v>27</v>
      </c>
      <c r="G267" s="100">
        <v>0</v>
      </c>
      <c r="H267" s="101">
        <f t="shared" si="61"/>
        <v>0</v>
      </c>
      <c r="I267" s="102">
        <f t="shared" si="62"/>
        <v>0</v>
      </c>
      <c r="K267" s="97"/>
      <c r="L267" s="148">
        <f>Table135[[#This Row],[Total]]</f>
        <v>0</v>
      </c>
    </row>
    <row r="268" spans="3:12" ht="16" x14ac:dyDescent="0.35">
      <c r="C268" s="121"/>
      <c r="D268" s="122"/>
      <c r="E268" s="122"/>
      <c r="F268" s="136"/>
      <c r="G268" s="126" t="s">
        <v>906</v>
      </c>
      <c r="H268" s="123">
        <f>SUM(H264:H267)</f>
        <v>0</v>
      </c>
      <c r="I268" s="124">
        <f t="shared" si="62"/>
        <v>0</v>
      </c>
      <c r="K268" s="125"/>
      <c r="L268" s="123">
        <f>SUM(L264:L267)</f>
        <v>0</v>
      </c>
    </row>
    <row r="269" spans="3:12" ht="18" thickBot="1" x14ac:dyDescent="0.4">
      <c r="C269" s="118"/>
      <c r="D269" s="119"/>
      <c r="E269" s="119"/>
      <c r="F269" s="137"/>
      <c r="G269" s="119" t="s">
        <v>907</v>
      </c>
      <c r="H269" s="120">
        <f>SUM(H268)</f>
        <v>0</v>
      </c>
      <c r="I269" s="127">
        <f t="shared" si="62"/>
        <v>0</v>
      </c>
      <c r="K269" s="140"/>
      <c r="L269" s="120">
        <f>SUM(L268)</f>
        <v>0</v>
      </c>
    </row>
    <row r="270" spans="3:12" ht="17.5" x14ac:dyDescent="0.35">
      <c r="C270" s="116" t="s">
        <v>908</v>
      </c>
      <c r="D270" s="117"/>
      <c r="E270" s="117"/>
      <c r="F270" s="138"/>
      <c r="G270" s="117"/>
      <c r="H270" s="128"/>
      <c r="I270" s="129"/>
      <c r="K270" s="141"/>
      <c r="L270" s="149"/>
    </row>
    <row r="271" spans="3:12" ht="13.5" x14ac:dyDescent="0.25">
      <c r="C271" s="97" t="s">
        <v>421</v>
      </c>
      <c r="D271" s="98" t="s">
        <v>422</v>
      </c>
      <c r="E271" s="98">
        <v>1</v>
      </c>
      <c r="F271" s="135" t="s">
        <v>72</v>
      </c>
      <c r="G271" s="100">
        <v>0</v>
      </c>
      <c r="H271" s="101">
        <f t="shared" ref="H271:H274" si="63">E271*G271</f>
        <v>0</v>
      </c>
      <c r="I271" s="102">
        <f t="shared" ref="I271:I276" si="64">IF($I$4=0, 0, H271/$I$4)</f>
        <v>0</v>
      </c>
      <c r="K271" s="97"/>
      <c r="L271" s="148">
        <f>Table135[[#This Row],[Total]]</f>
        <v>0</v>
      </c>
    </row>
    <row r="272" spans="3:12" ht="13.5" x14ac:dyDescent="0.25">
      <c r="C272" s="97" t="s">
        <v>423</v>
      </c>
      <c r="D272" s="98" t="s">
        <v>424</v>
      </c>
      <c r="E272" s="98">
        <v>0</v>
      </c>
      <c r="F272" s="135" t="s">
        <v>72</v>
      </c>
      <c r="G272" s="100">
        <v>0</v>
      </c>
      <c r="H272" s="101">
        <f t="shared" si="63"/>
        <v>0</v>
      </c>
      <c r="I272" s="102">
        <f t="shared" si="64"/>
        <v>0</v>
      </c>
      <c r="K272" s="97"/>
      <c r="L272" s="148">
        <f>Table135[[#This Row],[Total]]</f>
        <v>0</v>
      </c>
    </row>
    <row r="273" spans="3:12" ht="13.5" x14ac:dyDescent="0.25">
      <c r="C273" s="97" t="s">
        <v>426</v>
      </c>
      <c r="D273" s="98" t="s">
        <v>427</v>
      </c>
      <c r="E273" s="98">
        <v>0</v>
      </c>
      <c r="F273" s="135" t="s">
        <v>72</v>
      </c>
      <c r="G273" s="100">
        <v>0</v>
      </c>
      <c r="H273" s="101">
        <f t="shared" si="63"/>
        <v>0</v>
      </c>
      <c r="I273" s="102">
        <f t="shared" si="64"/>
        <v>0</v>
      </c>
      <c r="K273" s="97"/>
      <c r="L273" s="148">
        <f>Table135[[#This Row],[Total]]</f>
        <v>0</v>
      </c>
    </row>
    <row r="274" spans="3:12" ht="13.5" x14ac:dyDescent="0.25">
      <c r="C274" s="97" t="s">
        <v>428</v>
      </c>
      <c r="D274" s="98" t="s">
        <v>429</v>
      </c>
      <c r="E274" s="98">
        <v>0</v>
      </c>
      <c r="F274" s="135" t="s">
        <v>72</v>
      </c>
      <c r="G274" s="100">
        <v>0</v>
      </c>
      <c r="H274" s="101">
        <f t="shared" si="63"/>
        <v>0</v>
      </c>
      <c r="I274" s="102">
        <f t="shared" si="64"/>
        <v>0</v>
      </c>
      <c r="K274" s="97"/>
      <c r="L274" s="148">
        <f>Table135[[#This Row],[Total]]</f>
        <v>0</v>
      </c>
    </row>
    <row r="275" spans="3:12" ht="16" x14ac:dyDescent="0.35">
      <c r="C275" s="121"/>
      <c r="D275" s="122"/>
      <c r="E275" s="122"/>
      <c r="F275" s="136"/>
      <c r="G275" s="126" t="s">
        <v>909</v>
      </c>
      <c r="H275" s="123">
        <f>SUM(H271:H274)</f>
        <v>0</v>
      </c>
      <c r="I275" s="124">
        <f t="shared" si="64"/>
        <v>0</v>
      </c>
      <c r="K275" s="144"/>
      <c r="L275" s="123">
        <f>SUM(L271:L274)</f>
        <v>0</v>
      </c>
    </row>
    <row r="276" spans="3:12" ht="18" thickBot="1" x14ac:dyDescent="0.4">
      <c r="C276" s="118"/>
      <c r="D276" s="119"/>
      <c r="E276" s="119"/>
      <c r="F276" s="137"/>
      <c r="G276" s="119" t="s">
        <v>910</v>
      </c>
      <c r="H276" s="120">
        <f>SUM(H275)</f>
        <v>0</v>
      </c>
      <c r="I276" s="127">
        <f t="shared" si="64"/>
        <v>0</v>
      </c>
      <c r="K276" s="140"/>
      <c r="L276" s="120">
        <f>SUM(L275)</f>
        <v>0</v>
      </c>
    </row>
    <row r="277" spans="3:12" ht="17.5" x14ac:dyDescent="0.35">
      <c r="C277" s="116" t="s">
        <v>911</v>
      </c>
      <c r="D277" s="117"/>
      <c r="E277" s="117"/>
      <c r="F277" s="138"/>
      <c r="G277" s="117"/>
      <c r="H277" s="128"/>
      <c r="I277" s="129"/>
      <c r="K277" s="141"/>
      <c r="L277" s="149"/>
    </row>
    <row r="278" spans="3:12" ht="13.5" x14ac:dyDescent="0.25">
      <c r="C278" s="97" t="s">
        <v>430</v>
      </c>
      <c r="D278" s="98" t="s">
        <v>431</v>
      </c>
      <c r="E278" s="103">
        <v>1</v>
      </c>
      <c r="F278" s="135" t="s">
        <v>72</v>
      </c>
      <c r="G278" s="100">
        <v>0</v>
      </c>
      <c r="H278" s="101">
        <f t="shared" ref="H278:H294" si="65">E278*G278</f>
        <v>0</v>
      </c>
      <c r="I278" s="102">
        <f t="shared" ref="I278:I296" si="66">IF($I$4=0, 0, H278/$I$4)</f>
        <v>0</v>
      </c>
      <c r="K278" s="97"/>
      <c r="L278" s="148">
        <f>Table135[[#This Row],[Total]]</f>
        <v>0</v>
      </c>
    </row>
    <row r="279" spans="3:12" ht="13.5" x14ac:dyDescent="0.25">
      <c r="C279" s="97" t="s">
        <v>430</v>
      </c>
      <c r="D279" s="98" t="s">
        <v>912</v>
      </c>
      <c r="E279" s="103">
        <v>4635.4544444444437</v>
      </c>
      <c r="F279" s="135" t="s">
        <v>309</v>
      </c>
      <c r="G279" s="100">
        <v>0</v>
      </c>
      <c r="H279" s="101">
        <f t="shared" si="65"/>
        <v>0</v>
      </c>
      <c r="I279" s="102">
        <f t="shared" si="66"/>
        <v>0</v>
      </c>
      <c r="K279" s="97"/>
      <c r="L279" s="148">
        <f>Table135[[#This Row],[Total]]</f>
        <v>0</v>
      </c>
    </row>
    <row r="280" spans="3:12" ht="13.5" x14ac:dyDescent="0.25">
      <c r="C280" s="97" t="s">
        <v>430</v>
      </c>
      <c r="D280" s="98" t="s">
        <v>432</v>
      </c>
      <c r="E280" s="103">
        <v>2414.3944444444442</v>
      </c>
      <c r="F280" s="135" t="s">
        <v>309</v>
      </c>
      <c r="G280" s="100">
        <v>0</v>
      </c>
      <c r="H280" s="101">
        <f t="shared" si="65"/>
        <v>0</v>
      </c>
      <c r="I280" s="102">
        <f t="shared" si="66"/>
        <v>0</v>
      </c>
      <c r="K280" s="97"/>
      <c r="L280" s="148">
        <f>Table135[[#This Row],[Total]]</f>
        <v>0</v>
      </c>
    </row>
    <row r="281" spans="3:12" ht="13.5" x14ac:dyDescent="0.25">
      <c r="C281" s="97" t="s">
        <v>433</v>
      </c>
      <c r="D281" s="98" t="s">
        <v>434</v>
      </c>
      <c r="E281" s="103">
        <v>0</v>
      </c>
      <c r="F281" s="135" t="s">
        <v>72</v>
      </c>
      <c r="G281" s="100">
        <v>0</v>
      </c>
      <c r="H281" s="101">
        <f t="shared" si="65"/>
        <v>0</v>
      </c>
      <c r="I281" s="102">
        <f t="shared" si="66"/>
        <v>0</v>
      </c>
      <c r="K281" s="97"/>
      <c r="L281" s="148">
        <f>Table135[[#This Row],[Total]]</f>
        <v>0</v>
      </c>
    </row>
    <row r="282" spans="3:12" ht="13.5" x14ac:dyDescent="0.25">
      <c r="C282" s="97" t="s">
        <v>435</v>
      </c>
      <c r="D282" s="98" t="s">
        <v>436</v>
      </c>
      <c r="E282" s="103">
        <v>0</v>
      </c>
      <c r="F282" s="135" t="s">
        <v>72</v>
      </c>
      <c r="G282" s="100">
        <v>0</v>
      </c>
      <c r="H282" s="101">
        <f t="shared" si="65"/>
        <v>0</v>
      </c>
      <c r="I282" s="102">
        <f t="shared" si="66"/>
        <v>0</v>
      </c>
      <c r="K282" s="97"/>
      <c r="L282" s="148">
        <f>Table135[[#This Row],[Total]]</f>
        <v>0</v>
      </c>
    </row>
    <row r="283" spans="3:12" ht="13.5" x14ac:dyDescent="0.25">
      <c r="C283" s="97" t="s">
        <v>437</v>
      </c>
      <c r="D283" s="98" t="s">
        <v>438</v>
      </c>
      <c r="E283" s="103">
        <v>0</v>
      </c>
      <c r="F283" s="135" t="s">
        <v>72</v>
      </c>
      <c r="G283" s="100">
        <v>0</v>
      </c>
      <c r="H283" s="101">
        <f t="shared" si="65"/>
        <v>0</v>
      </c>
      <c r="I283" s="102">
        <f t="shared" si="66"/>
        <v>0</v>
      </c>
      <c r="K283" s="97"/>
      <c r="L283" s="148">
        <f>Table135[[#This Row],[Total]]</f>
        <v>0</v>
      </c>
    </row>
    <row r="284" spans="3:12" ht="13.5" x14ac:dyDescent="0.25">
      <c r="C284" s="97" t="s">
        <v>439</v>
      </c>
      <c r="D284" s="98" t="s">
        <v>440</v>
      </c>
      <c r="E284" s="103">
        <v>0</v>
      </c>
      <c r="F284" s="135" t="s">
        <v>72</v>
      </c>
      <c r="G284" s="100">
        <v>0</v>
      </c>
      <c r="H284" s="101">
        <f t="shared" si="65"/>
        <v>0</v>
      </c>
      <c r="I284" s="102">
        <f t="shared" si="66"/>
        <v>0</v>
      </c>
      <c r="K284" s="97"/>
      <c r="L284" s="148">
        <f>Table135[[#This Row],[Total]]</f>
        <v>0</v>
      </c>
    </row>
    <row r="285" spans="3:12" ht="13.5" x14ac:dyDescent="0.25">
      <c r="C285" s="97" t="s">
        <v>441</v>
      </c>
      <c r="D285" s="98" t="s">
        <v>442</v>
      </c>
      <c r="E285" s="103">
        <v>1</v>
      </c>
      <c r="F285" s="135" t="s">
        <v>72</v>
      </c>
      <c r="G285" s="100">
        <v>0</v>
      </c>
      <c r="H285" s="101">
        <f t="shared" si="65"/>
        <v>0</v>
      </c>
      <c r="I285" s="102">
        <f t="shared" si="66"/>
        <v>0</v>
      </c>
      <c r="K285" s="97"/>
      <c r="L285" s="148">
        <f>Table135[[#This Row],[Total]]</f>
        <v>0</v>
      </c>
    </row>
    <row r="286" spans="3:12" ht="13.5" x14ac:dyDescent="0.25">
      <c r="C286" s="97" t="s">
        <v>433</v>
      </c>
      <c r="D286" s="98" t="s">
        <v>443</v>
      </c>
      <c r="E286" s="103">
        <v>1230.26</v>
      </c>
      <c r="F286" s="135" t="s">
        <v>23</v>
      </c>
      <c r="G286" s="100">
        <v>0</v>
      </c>
      <c r="H286" s="101">
        <f t="shared" si="65"/>
        <v>0</v>
      </c>
      <c r="I286" s="102">
        <f t="shared" si="66"/>
        <v>0</v>
      </c>
      <c r="K286" s="97"/>
      <c r="L286" s="148">
        <f>Table135[[#This Row],[Total]]</f>
        <v>0</v>
      </c>
    </row>
    <row r="287" spans="3:12" ht="13.5" x14ac:dyDescent="0.25">
      <c r="C287" s="97" t="s">
        <v>433</v>
      </c>
      <c r="D287" s="98" t="s">
        <v>444</v>
      </c>
      <c r="E287" s="103">
        <v>1456.67</v>
      </c>
      <c r="F287" s="135" t="s">
        <v>23</v>
      </c>
      <c r="G287" s="100">
        <v>0</v>
      </c>
      <c r="H287" s="101">
        <f t="shared" si="65"/>
        <v>0</v>
      </c>
      <c r="I287" s="102">
        <f t="shared" si="66"/>
        <v>0</v>
      </c>
      <c r="K287" s="97"/>
      <c r="L287" s="148">
        <f>Table135[[#This Row],[Total]]</f>
        <v>0</v>
      </c>
    </row>
    <row r="288" spans="3:12" ht="13.5" x14ac:dyDescent="0.25">
      <c r="C288" s="97" t="s">
        <v>433</v>
      </c>
      <c r="D288" s="98" t="s">
        <v>445</v>
      </c>
      <c r="E288" s="103">
        <v>267</v>
      </c>
      <c r="F288" s="135" t="s">
        <v>23</v>
      </c>
      <c r="G288" s="100">
        <v>0</v>
      </c>
      <c r="H288" s="101">
        <f t="shared" si="65"/>
        <v>0</v>
      </c>
      <c r="I288" s="102">
        <f t="shared" si="66"/>
        <v>0</v>
      </c>
      <c r="K288" s="97"/>
      <c r="L288" s="148">
        <f>Table135[[#This Row],[Total]]</f>
        <v>0</v>
      </c>
    </row>
    <row r="289" spans="3:12" ht="13.5" x14ac:dyDescent="0.25">
      <c r="C289" s="97" t="s">
        <v>433</v>
      </c>
      <c r="D289" s="98" t="s">
        <v>446</v>
      </c>
      <c r="E289" s="103">
        <v>5140.3</v>
      </c>
      <c r="F289" s="135" t="s">
        <v>27</v>
      </c>
      <c r="G289" s="100">
        <v>0</v>
      </c>
      <c r="H289" s="101">
        <f t="shared" si="65"/>
        <v>0</v>
      </c>
      <c r="I289" s="102">
        <f t="shared" si="66"/>
        <v>0</v>
      </c>
      <c r="K289" s="97"/>
      <c r="L289" s="148">
        <f>Table135[[#This Row],[Total]]</f>
        <v>0</v>
      </c>
    </row>
    <row r="290" spans="3:12" ht="13.5" x14ac:dyDescent="0.25">
      <c r="C290" s="97" t="s">
        <v>433</v>
      </c>
      <c r="D290" s="98" t="s">
        <v>447</v>
      </c>
      <c r="E290" s="103">
        <v>1188.9100000000001</v>
      </c>
      <c r="F290" s="135" t="s">
        <v>27</v>
      </c>
      <c r="G290" s="100">
        <v>0</v>
      </c>
      <c r="H290" s="101">
        <f t="shared" si="65"/>
        <v>0</v>
      </c>
      <c r="I290" s="102">
        <f t="shared" si="66"/>
        <v>0</v>
      </c>
      <c r="K290" s="97"/>
      <c r="L290" s="148">
        <f>Table135[[#This Row],[Total]]</f>
        <v>0</v>
      </c>
    </row>
    <row r="291" spans="3:12" ht="13.5" x14ac:dyDescent="0.25">
      <c r="C291" s="97" t="s">
        <v>449</v>
      </c>
      <c r="D291" s="98" t="s">
        <v>450</v>
      </c>
      <c r="E291" s="103">
        <v>1</v>
      </c>
      <c r="F291" s="135" t="s">
        <v>72</v>
      </c>
      <c r="G291" s="100">
        <v>0</v>
      </c>
      <c r="H291" s="101">
        <f t="shared" si="65"/>
        <v>0</v>
      </c>
      <c r="I291" s="102">
        <f t="shared" si="66"/>
        <v>0</v>
      </c>
      <c r="K291" s="97"/>
      <c r="L291" s="148">
        <f>Table135[[#This Row],[Total]]</f>
        <v>0</v>
      </c>
    </row>
    <row r="292" spans="3:12" ht="13.5" x14ac:dyDescent="0.25">
      <c r="C292" s="97" t="s">
        <v>451</v>
      </c>
      <c r="D292" s="98" t="s">
        <v>913</v>
      </c>
      <c r="E292" s="103">
        <v>1</v>
      </c>
      <c r="F292" s="135" t="s">
        <v>72</v>
      </c>
      <c r="G292" s="100">
        <v>0</v>
      </c>
      <c r="H292" s="101">
        <f t="shared" si="65"/>
        <v>0</v>
      </c>
      <c r="I292" s="102">
        <f t="shared" si="66"/>
        <v>0</v>
      </c>
      <c r="K292" s="97"/>
      <c r="L292" s="148">
        <f>Table135[[#This Row],[Total]]</f>
        <v>0</v>
      </c>
    </row>
    <row r="293" spans="3:12" ht="13.5" x14ac:dyDescent="0.25">
      <c r="C293" s="97" t="s">
        <v>453</v>
      </c>
      <c r="D293" s="98" t="s">
        <v>454</v>
      </c>
      <c r="E293" s="103">
        <v>0</v>
      </c>
      <c r="F293" s="135" t="s">
        <v>72</v>
      </c>
      <c r="G293" s="100">
        <v>0</v>
      </c>
      <c r="H293" s="101">
        <f t="shared" si="65"/>
        <v>0</v>
      </c>
      <c r="I293" s="102">
        <f t="shared" si="66"/>
        <v>0</v>
      </c>
      <c r="K293" s="97"/>
      <c r="L293" s="148">
        <f>Table135[[#This Row],[Total]]</f>
        <v>0</v>
      </c>
    </row>
    <row r="294" spans="3:12" ht="13.5" x14ac:dyDescent="0.25">
      <c r="C294" s="97" t="s">
        <v>455</v>
      </c>
      <c r="D294" s="98" t="s">
        <v>456</v>
      </c>
      <c r="E294" s="103">
        <v>1</v>
      </c>
      <c r="F294" s="135" t="s">
        <v>72</v>
      </c>
      <c r="G294" s="100">
        <v>0</v>
      </c>
      <c r="H294" s="101">
        <f t="shared" si="65"/>
        <v>0</v>
      </c>
      <c r="I294" s="102">
        <f t="shared" si="66"/>
        <v>0</v>
      </c>
      <c r="K294" s="97"/>
      <c r="L294" s="148">
        <f>Table135[[#This Row],[Total]]</f>
        <v>0</v>
      </c>
    </row>
    <row r="295" spans="3:12" ht="16" x14ac:dyDescent="0.35">
      <c r="C295" s="121"/>
      <c r="D295" s="122"/>
      <c r="E295" s="122"/>
      <c r="F295" s="136"/>
      <c r="G295" s="126" t="s">
        <v>914</v>
      </c>
      <c r="H295" s="123">
        <f>SUM(H278:H294)</f>
        <v>0</v>
      </c>
      <c r="I295" s="124">
        <f t="shared" si="66"/>
        <v>0</v>
      </c>
      <c r="K295" s="144"/>
      <c r="L295" s="123">
        <f>SUM(L278:L294)</f>
        <v>0</v>
      </c>
    </row>
    <row r="296" spans="3:12" ht="18" thickBot="1" x14ac:dyDescent="0.4">
      <c r="C296" s="118"/>
      <c r="D296" s="119"/>
      <c r="E296" s="119"/>
      <c r="F296" s="137"/>
      <c r="G296" s="119" t="s">
        <v>915</v>
      </c>
      <c r="H296" s="120">
        <f>SUM(H295)</f>
        <v>0</v>
      </c>
      <c r="I296" s="127">
        <f t="shared" si="66"/>
        <v>0</v>
      </c>
      <c r="K296" s="140"/>
      <c r="L296" s="120">
        <f>SUM(L295)</f>
        <v>0</v>
      </c>
    </row>
    <row r="297" spans="3:12" ht="17.5" x14ac:dyDescent="0.35">
      <c r="C297" s="116" t="s">
        <v>916</v>
      </c>
      <c r="D297" s="117"/>
      <c r="E297" s="117"/>
      <c r="F297" s="138"/>
      <c r="G297" s="117"/>
      <c r="H297" s="128"/>
      <c r="I297" s="129"/>
      <c r="K297" s="141"/>
      <c r="L297" s="149"/>
    </row>
    <row r="298" spans="3:12" ht="13.5" x14ac:dyDescent="0.25">
      <c r="C298" s="97" t="s">
        <v>457</v>
      </c>
      <c r="D298" s="98" t="s">
        <v>458</v>
      </c>
      <c r="E298" s="98">
        <v>1</v>
      </c>
      <c r="F298" s="135" t="s">
        <v>72</v>
      </c>
      <c r="G298" s="100">
        <v>0</v>
      </c>
      <c r="H298" s="101">
        <f t="shared" ref="H298:H301" si="67">E298*G298</f>
        <v>0</v>
      </c>
      <c r="I298" s="102">
        <f t="shared" ref="I298:I303" si="68">IF($I$4=0, 0, H298/$I$4)</f>
        <v>0</v>
      </c>
      <c r="K298" s="97"/>
      <c r="L298" s="148">
        <f>Table135[[#This Row],[Total]]</f>
        <v>0</v>
      </c>
    </row>
    <row r="299" spans="3:12" ht="13.5" x14ac:dyDescent="0.25">
      <c r="C299" s="97" t="s">
        <v>457</v>
      </c>
      <c r="D299" s="98" t="s">
        <v>459</v>
      </c>
      <c r="E299" s="98">
        <v>465</v>
      </c>
      <c r="F299" s="135" t="s">
        <v>23</v>
      </c>
      <c r="G299" s="100">
        <v>0</v>
      </c>
      <c r="H299" s="101">
        <f t="shared" si="67"/>
        <v>0</v>
      </c>
      <c r="I299" s="102">
        <f t="shared" si="68"/>
        <v>0</v>
      </c>
      <c r="K299" s="97"/>
      <c r="L299" s="148">
        <f>Table135[[#This Row],[Total]]</f>
        <v>0</v>
      </c>
    </row>
    <row r="300" spans="3:12" ht="13.5" x14ac:dyDescent="0.25">
      <c r="C300" s="97" t="s">
        <v>457</v>
      </c>
      <c r="D300" s="98" t="s">
        <v>460</v>
      </c>
      <c r="E300" s="98">
        <v>60</v>
      </c>
      <c r="F300" s="135" t="s">
        <v>23</v>
      </c>
      <c r="G300" s="100">
        <v>0</v>
      </c>
      <c r="H300" s="101">
        <f t="shared" si="67"/>
        <v>0</v>
      </c>
      <c r="I300" s="102">
        <f t="shared" si="68"/>
        <v>0</v>
      </c>
      <c r="K300" s="97"/>
      <c r="L300" s="148">
        <f>Table135[[#This Row],[Total]]</f>
        <v>0</v>
      </c>
    </row>
    <row r="301" spans="3:12" ht="13.5" x14ac:dyDescent="0.25">
      <c r="C301" s="97" t="s">
        <v>457</v>
      </c>
      <c r="D301" s="98" t="s">
        <v>917</v>
      </c>
      <c r="E301" s="98">
        <v>282</v>
      </c>
      <c r="F301" s="135" t="s">
        <v>23</v>
      </c>
      <c r="G301" s="100">
        <v>0</v>
      </c>
      <c r="H301" s="101">
        <f t="shared" si="67"/>
        <v>0</v>
      </c>
      <c r="I301" s="102">
        <f t="shared" si="68"/>
        <v>0</v>
      </c>
      <c r="K301" s="97"/>
      <c r="L301" s="148">
        <f>Table135[[#This Row],[Total]]</f>
        <v>0</v>
      </c>
    </row>
    <row r="302" spans="3:12" ht="16" x14ac:dyDescent="0.35">
      <c r="C302" s="121"/>
      <c r="D302" s="122"/>
      <c r="E302" s="122"/>
      <c r="F302" s="136"/>
      <c r="G302" s="126" t="s">
        <v>918</v>
      </c>
      <c r="H302" s="123">
        <f>SUM(H298:H301)</f>
        <v>0</v>
      </c>
      <c r="I302" s="124">
        <f t="shared" si="68"/>
        <v>0</v>
      </c>
      <c r="K302" s="144"/>
      <c r="L302" s="123">
        <f>SUM(L298:L301)</f>
        <v>0</v>
      </c>
    </row>
    <row r="303" spans="3:12" ht="18" thickBot="1" x14ac:dyDescent="0.4">
      <c r="C303" s="118"/>
      <c r="D303" s="119"/>
      <c r="E303" s="119"/>
      <c r="F303" s="137"/>
      <c r="G303" s="119" t="s">
        <v>919</v>
      </c>
      <c r="H303" s="120">
        <f>SUM(H302)</f>
        <v>0</v>
      </c>
      <c r="I303" s="127">
        <f t="shared" si="68"/>
        <v>0</v>
      </c>
      <c r="K303" s="140"/>
      <c r="L303" s="120">
        <f>SUM(L302)</f>
        <v>0</v>
      </c>
    </row>
    <row r="304" spans="3:12" ht="17.5" x14ac:dyDescent="0.35">
      <c r="C304" s="116" t="s">
        <v>920</v>
      </c>
      <c r="D304" s="117"/>
      <c r="E304" s="117"/>
      <c r="F304" s="138"/>
      <c r="G304" s="117"/>
      <c r="H304" s="128"/>
      <c r="I304" s="129"/>
      <c r="K304" s="141"/>
      <c r="L304" s="149"/>
    </row>
    <row r="305" spans="3:12" ht="13.5" x14ac:dyDescent="0.25">
      <c r="C305" s="97" t="s">
        <v>461</v>
      </c>
      <c r="D305" s="98"/>
      <c r="E305" s="98"/>
      <c r="F305" s="135"/>
      <c r="G305" s="100">
        <v>0</v>
      </c>
      <c r="H305" s="101">
        <f t="shared" ref="H305" si="69">E305*G305</f>
        <v>0</v>
      </c>
      <c r="I305" s="102">
        <f t="shared" ref="I305:I307" si="70">IF($I$4=0, 0, H305/$I$4)</f>
        <v>0</v>
      </c>
      <c r="K305" s="97"/>
      <c r="L305" s="148">
        <f>Table135[[#This Row],[Total]]</f>
        <v>0</v>
      </c>
    </row>
    <row r="306" spans="3:12" ht="16" x14ac:dyDescent="0.35">
      <c r="C306" s="121"/>
      <c r="D306" s="122"/>
      <c r="E306" s="122"/>
      <c r="F306" s="136"/>
      <c r="G306" s="126" t="s">
        <v>921</v>
      </c>
      <c r="H306" s="123">
        <f>SUM(H305)</f>
        <v>0</v>
      </c>
      <c r="I306" s="124">
        <f t="shared" si="70"/>
        <v>0</v>
      </c>
      <c r="K306" s="144"/>
      <c r="L306" s="123">
        <f>SUM(L305)</f>
        <v>0</v>
      </c>
    </row>
    <row r="307" spans="3:12" ht="18" thickBot="1" x14ac:dyDescent="0.4">
      <c r="C307" s="118"/>
      <c r="D307" s="119"/>
      <c r="E307" s="119"/>
      <c r="F307" s="137"/>
      <c r="G307" s="119" t="s">
        <v>922</v>
      </c>
      <c r="H307" s="120">
        <f>SUM(H306)</f>
        <v>0</v>
      </c>
      <c r="I307" s="127">
        <f t="shared" si="70"/>
        <v>0</v>
      </c>
      <c r="K307" s="140"/>
      <c r="L307" s="120">
        <f>SUM(L306)</f>
        <v>0</v>
      </c>
    </row>
    <row r="308" spans="3:12" ht="17.5" x14ac:dyDescent="0.35">
      <c r="C308" s="116" t="s">
        <v>926</v>
      </c>
      <c r="D308" s="117"/>
      <c r="E308" s="117"/>
      <c r="F308" s="138"/>
      <c r="G308" s="117"/>
      <c r="H308" s="128"/>
      <c r="I308" s="129"/>
      <c r="K308" s="141"/>
      <c r="L308" s="149"/>
    </row>
    <row r="309" spans="3:12" ht="13.5" x14ac:dyDescent="0.25">
      <c r="C309" s="97" t="s">
        <v>468</v>
      </c>
      <c r="D309" s="98" t="s">
        <v>13</v>
      </c>
      <c r="E309" s="98"/>
      <c r="F309" s="135"/>
      <c r="G309" s="100">
        <v>0</v>
      </c>
      <c r="H309" s="101">
        <f t="shared" ref="H309:H315" si="71">E309*G309</f>
        <v>0</v>
      </c>
      <c r="I309" s="102">
        <f t="shared" ref="I309:I317" si="72">IF($I$4=0, 0, H309/$I$4)</f>
        <v>0</v>
      </c>
      <c r="K309" s="97"/>
      <c r="L309" s="148">
        <f>Table135[[#This Row],[Total]]</f>
        <v>0</v>
      </c>
    </row>
    <row r="310" spans="3:12" ht="13.5" x14ac:dyDescent="0.25">
      <c r="C310" s="97" t="s">
        <v>469</v>
      </c>
      <c r="D310" s="98" t="s">
        <v>14</v>
      </c>
      <c r="E310" s="98"/>
      <c r="F310" s="135"/>
      <c r="G310" s="100">
        <v>0</v>
      </c>
      <c r="H310" s="101">
        <f t="shared" si="71"/>
        <v>0</v>
      </c>
      <c r="I310" s="102">
        <f t="shared" si="72"/>
        <v>0</v>
      </c>
      <c r="K310" s="97"/>
      <c r="L310" s="148">
        <f>Table135[[#This Row],[Total]]</f>
        <v>0</v>
      </c>
    </row>
    <row r="311" spans="3:12" ht="13.5" x14ac:dyDescent="0.25">
      <c r="C311" s="97" t="s">
        <v>470</v>
      </c>
      <c r="D311" s="98" t="s">
        <v>15</v>
      </c>
      <c r="E311" s="98"/>
      <c r="F311" s="135"/>
      <c r="G311" s="100">
        <v>0</v>
      </c>
      <c r="H311" s="101">
        <f t="shared" si="71"/>
        <v>0</v>
      </c>
      <c r="I311" s="102">
        <f t="shared" si="72"/>
        <v>0</v>
      </c>
      <c r="K311" s="97"/>
      <c r="L311" s="148">
        <f>Table135[[#This Row],[Total]]</f>
        <v>0</v>
      </c>
    </row>
    <row r="312" spans="3:12" ht="13.5" x14ac:dyDescent="0.25">
      <c r="C312" s="97" t="s">
        <v>471</v>
      </c>
      <c r="D312" s="98" t="s">
        <v>16</v>
      </c>
      <c r="E312" s="98"/>
      <c r="F312" s="135"/>
      <c r="G312" s="100">
        <v>0</v>
      </c>
      <c r="H312" s="101">
        <f t="shared" si="71"/>
        <v>0</v>
      </c>
      <c r="I312" s="102">
        <f t="shared" si="72"/>
        <v>0</v>
      </c>
      <c r="K312" s="97"/>
      <c r="L312" s="148">
        <f>Table135[[#This Row],[Total]]</f>
        <v>0</v>
      </c>
    </row>
    <row r="313" spans="3:12" ht="13.5" x14ac:dyDescent="0.25">
      <c r="C313" s="97" t="s">
        <v>472</v>
      </c>
      <c r="D313" s="98" t="s">
        <v>17</v>
      </c>
      <c r="E313" s="98"/>
      <c r="F313" s="135"/>
      <c r="G313" s="100">
        <v>0</v>
      </c>
      <c r="H313" s="101">
        <f t="shared" si="71"/>
        <v>0</v>
      </c>
      <c r="I313" s="102">
        <f t="shared" si="72"/>
        <v>0</v>
      </c>
      <c r="K313" s="97"/>
      <c r="L313" s="148">
        <f>Table135[[#This Row],[Total]]</f>
        <v>0</v>
      </c>
    </row>
    <row r="314" spans="3:12" ht="13.5" x14ac:dyDescent="0.25">
      <c r="C314" s="97" t="s">
        <v>473</v>
      </c>
      <c r="D314" s="98" t="s">
        <v>18</v>
      </c>
      <c r="E314" s="98"/>
      <c r="F314" s="135"/>
      <c r="G314" s="100">
        <v>0</v>
      </c>
      <c r="H314" s="101">
        <f t="shared" si="71"/>
        <v>0</v>
      </c>
      <c r="I314" s="102">
        <f t="shared" si="72"/>
        <v>0</v>
      </c>
      <c r="K314" s="97"/>
      <c r="L314" s="148">
        <f>Table135[[#This Row],[Total]]</f>
        <v>0</v>
      </c>
    </row>
    <row r="315" spans="3:12" ht="13.5" x14ac:dyDescent="0.25">
      <c r="C315" s="97" t="s">
        <v>474</v>
      </c>
      <c r="D315" s="98" t="s">
        <v>19</v>
      </c>
      <c r="E315" s="98"/>
      <c r="F315" s="135"/>
      <c r="G315" s="100">
        <v>0</v>
      </c>
      <c r="H315" s="101">
        <f t="shared" si="71"/>
        <v>0</v>
      </c>
      <c r="I315" s="102">
        <f t="shared" si="72"/>
        <v>0</v>
      </c>
      <c r="K315" s="97"/>
      <c r="L315" s="148">
        <f>Table135[[#This Row],[Total]]</f>
        <v>0</v>
      </c>
    </row>
    <row r="316" spans="3:12" ht="16" x14ac:dyDescent="0.35">
      <c r="C316" s="121"/>
      <c r="D316" s="122"/>
      <c r="E316" s="122"/>
      <c r="F316" s="136"/>
      <c r="G316" s="126" t="s">
        <v>927</v>
      </c>
      <c r="H316" s="123">
        <f>SUM(H309:H315)</f>
        <v>0</v>
      </c>
      <c r="I316" s="124">
        <f t="shared" si="72"/>
        <v>0</v>
      </c>
      <c r="K316" s="144"/>
      <c r="L316" s="123">
        <f>SUM(L309:L315)</f>
        <v>0</v>
      </c>
    </row>
    <row r="317" spans="3:12" ht="18" thickBot="1" x14ac:dyDescent="0.4">
      <c r="C317" s="118"/>
      <c r="D317" s="119"/>
      <c r="E317" s="119"/>
      <c r="F317" s="137"/>
      <c r="G317" s="119" t="s">
        <v>928</v>
      </c>
      <c r="H317" s="120">
        <f>SUM(H316)</f>
        <v>0</v>
      </c>
      <c r="I317" s="127">
        <f t="shared" si="72"/>
        <v>0</v>
      </c>
      <c r="K317" s="140"/>
      <c r="L317" s="151">
        <f>SUM(L316)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3FED-8D25-45D3-A4A1-57F33A95090E}">
  <sheetPr codeName="Sheet6"/>
  <dimension ref="C3:L317"/>
  <sheetViews>
    <sheetView topLeftCell="A22" zoomScale="85" zoomScaleNormal="85" workbookViewId="0">
      <selection activeCell="D30" sqref="D30"/>
    </sheetView>
  </sheetViews>
  <sheetFormatPr defaultRowHeight="12.5" x14ac:dyDescent="0.25"/>
  <cols>
    <col min="3" max="3" width="12.81640625" customWidth="1"/>
    <col min="4" max="4" width="42.26953125" customWidth="1"/>
    <col min="5" max="5" width="17.81640625" customWidth="1"/>
    <col min="6" max="6" width="10.7265625" bestFit="1" customWidth="1"/>
    <col min="7" max="7" width="29.1796875" customWidth="1"/>
    <col min="8" max="8" width="16.81640625" customWidth="1"/>
    <col min="9" max="9" width="20.7265625" bestFit="1" customWidth="1"/>
    <col min="10" max="10" width="3.26953125" customWidth="1"/>
    <col min="11" max="11" width="15.1796875" customWidth="1"/>
    <col min="12" max="12" width="20" customWidth="1"/>
  </cols>
  <sheetData>
    <row r="3" spans="3:12" x14ac:dyDescent="0.25">
      <c r="I3" s="28" t="s">
        <v>931</v>
      </c>
    </row>
    <row r="4" spans="3:12" ht="13" thickBot="1" x14ac:dyDescent="0.3">
      <c r="I4">
        <v>0</v>
      </c>
    </row>
    <row r="5" spans="3:12" ht="15.5" thickBot="1" x14ac:dyDescent="0.35">
      <c r="C5" s="61" t="s">
        <v>60</v>
      </c>
      <c r="D5" s="62" t="s">
        <v>20</v>
      </c>
      <c r="E5" s="62" t="s">
        <v>29</v>
      </c>
      <c r="F5" s="62" t="s">
        <v>30</v>
      </c>
      <c r="G5" s="62" t="s">
        <v>61</v>
      </c>
      <c r="H5" s="62" t="s">
        <v>44</v>
      </c>
      <c r="I5" s="63" t="s">
        <v>932</v>
      </c>
      <c r="K5" s="92" t="s">
        <v>203</v>
      </c>
      <c r="L5" s="93" t="s">
        <v>943</v>
      </c>
    </row>
    <row r="6" spans="3:12" ht="17.5" x14ac:dyDescent="0.35">
      <c r="C6" s="64" t="s">
        <v>789</v>
      </c>
      <c r="D6" s="43"/>
      <c r="E6" s="55"/>
      <c r="F6" s="55"/>
      <c r="G6" s="55"/>
      <c r="H6" s="57"/>
      <c r="I6" s="58"/>
      <c r="K6" s="94"/>
      <c r="L6" s="84"/>
    </row>
    <row r="7" spans="3:12" ht="13.5" x14ac:dyDescent="0.25">
      <c r="C7" s="97" t="s">
        <v>158</v>
      </c>
      <c r="D7" s="98" t="s">
        <v>159</v>
      </c>
      <c r="E7" s="99">
        <v>1</v>
      </c>
      <c r="F7" s="98" t="s">
        <v>72</v>
      </c>
      <c r="G7" s="100">
        <v>0</v>
      </c>
      <c r="H7" s="101">
        <f>E7*G7</f>
        <v>0</v>
      </c>
      <c r="I7" s="102">
        <f>IF($I$4=0, 0, H7/$I$4)</f>
        <v>0</v>
      </c>
      <c r="K7" s="12"/>
      <c r="L7" s="13"/>
    </row>
    <row r="8" spans="3:12" ht="13.5" x14ac:dyDescent="0.25">
      <c r="C8" s="97" t="s">
        <v>132</v>
      </c>
      <c r="D8" s="98" t="s">
        <v>133</v>
      </c>
      <c r="E8" s="99">
        <v>0</v>
      </c>
      <c r="F8" s="98" t="s">
        <v>72</v>
      </c>
      <c r="G8" s="100">
        <v>0</v>
      </c>
      <c r="H8" s="101">
        <f t="shared" ref="H8:H23" si="0">E8*G8</f>
        <v>0</v>
      </c>
      <c r="I8" s="102">
        <f t="shared" ref="I8:I23" si="1">IF($I$4=0, 0, H8/$I$4)</f>
        <v>0</v>
      </c>
      <c r="K8" s="12"/>
      <c r="L8" s="13"/>
    </row>
    <row r="9" spans="3:12" ht="13.5" x14ac:dyDescent="0.25">
      <c r="C9" s="97" t="s">
        <v>160</v>
      </c>
      <c r="D9" s="98" t="s">
        <v>161</v>
      </c>
      <c r="E9" s="99">
        <v>100</v>
      </c>
      <c r="F9" s="98" t="s">
        <v>25</v>
      </c>
      <c r="G9" s="100">
        <v>0</v>
      </c>
      <c r="H9" s="101">
        <f t="shared" si="0"/>
        <v>0</v>
      </c>
      <c r="I9" s="102">
        <f t="shared" si="1"/>
        <v>0</v>
      </c>
      <c r="K9" s="12"/>
      <c r="L9" s="13"/>
    </row>
    <row r="10" spans="3:12" ht="13.5" x14ac:dyDescent="0.25">
      <c r="C10" s="97" t="s">
        <v>134</v>
      </c>
      <c r="D10" s="98" t="s">
        <v>135</v>
      </c>
      <c r="E10" s="99">
        <v>1039.2</v>
      </c>
      <c r="F10" s="98" t="s">
        <v>65</v>
      </c>
      <c r="G10" s="100">
        <v>0</v>
      </c>
      <c r="H10" s="101">
        <f t="shared" si="0"/>
        <v>0</v>
      </c>
      <c r="I10" s="102">
        <f t="shared" si="1"/>
        <v>0</v>
      </c>
      <c r="K10" s="12"/>
      <c r="L10" s="13"/>
    </row>
    <row r="11" spans="3:12" ht="13.5" x14ac:dyDescent="0.25">
      <c r="C11" s="97" t="s">
        <v>134</v>
      </c>
      <c r="D11" s="98" t="s">
        <v>136</v>
      </c>
      <c r="E11" s="99">
        <v>1558.8000000000002</v>
      </c>
      <c r="F11" s="98" t="s">
        <v>65</v>
      </c>
      <c r="G11" s="100">
        <v>0</v>
      </c>
      <c r="H11" s="101">
        <f t="shared" si="0"/>
        <v>0</v>
      </c>
      <c r="I11" s="102">
        <f t="shared" si="1"/>
        <v>0</v>
      </c>
      <c r="K11" s="12"/>
      <c r="L11" s="13"/>
    </row>
    <row r="12" spans="3:12" ht="13.5" x14ac:dyDescent="0.25">
      <c r="C12" s="97" t="s">
        <v>137</v>
      </c>
      <c r="D12" s="98" t="s">
        <v>138</v>
      </c>
      <c r="E12" s="99">
        <v>14</v>
      </c>
      <c r="F12" s="98" t="s">
        <v>91</v>
      </c>
      <c r="G12" s="100">
        <v>0</v>
      </c>
      <c r="H12" s="101">
        <f t="shared" si="0"/>
        <v>0</v>
      </c>
      <c r="I12" s="102">
        <f t="shared" si="1"/>
        <v>0</v>
      </c>
      <c r="K12" s="12"/>
      <c r="L12" s="13"/>
    </row>
    <row r="13" spans="3:12" ht="13.5" x14ac:dyDescent="0.25">
      <c r="C13" s="97" t="s">
        <v>139</v>
      </c>
      <c r="D13" s="98" t="s">
        <v>140</v>
      </c>
      <c r="E13" s="99">
        <v>300000</v>
      </c>
      <c r="F13" s="98" t="s">
        <v>27</v>
      </c>
      <c r="G13" s="100">
        <v>0</v>
      </c>
      <c r="H13" s="101">
        <f t="shared" si="0"/>
        <v>0</v>
      </c>
      <c r="I13" s="102">
        <f t="shared" si="1"/>
        <v>0</v>
      </c>
      <c r="K13" s="12"/>
      <c r="L13" s="13"/>
    </row>
    <row r="14" spans="3:12" ht="13.5" x14ac:dyDescent="0.25">
      <c r="C14" s="97" t="s">
        <v>141</v>
      </c>
      <c r="D14" s="98" t="s">
        <v>142</v>
      </c>
      <c r="E14" s="99">
        <v>0</v>
      </c>
      <c r="F14" s="98" t="s">
        <v>25</v>
      </c>
      <c r="G14" s="100">
        <v>0</v>
      </c>
      <c r="H14" s="101">
        <f t="shared" si="0"/>
        <v>0</v>
      </c>
      <c r="I14" s="102">
        <f t="shared" si="1"/>
        <v>0</v>
      </c>
      <c r="K14" s="12"/>
      <c r="L14" s="13"/>
    </row>
    <row r="15" spans="3:12" ht="13.5" x14ac:dyDescent="0.25">
      <c r="C15" s="97" t="s">
        <v>143</v>
      </c>
      <c r="D15" s="98" t="s">
        <v>144</v>
      </c>
      <c r="E15" s="99">
        <v>0</v>
      </c>
      <c r="F15" s="98" t="s">
        <v>23</v>
      </c>
      <c r="G15" s="100">
        <v>0</v>
      </c>
      <c r="H15" s="101">
        <f t="shared" si="0"/>
        <v>0</v>
      </c>
      <c r="I15" s="102">
        <f t="shared" si="1"/>
        <v>0</v>
      </c>
      <c r="K15" s="12"/>
      <c r="L15" s="13"/>
    </row>
    <row r="16" spans="3:12" ht="13.5" x14ac:dyDescent="0.25">
      <c r="C16" s="97" t="s">
        <v>145</v>
      </c>
      <c r="D16" s="98" t="s">
        <v>146</v>
      </c>
      <c r="E16" s="99">
        <v>1200</v>
      </c>
      <c r="F16" s="98" t="s">
        <v>23</v>
      </c>
      <c r="G16" s="100">
        <v>0</v>
      </c>
      <c r="H16" s="101">
        <f t="shared" si="0"/>
        <v>0</v>
      </c>
      <c r="I16" s="102">
        <f t="shared" si="1"/>
        <v>0</v>
      </c>
      <c r="K16" s="12"/>
      <c r="L16" s="13"/>
    </row>
    <row r="17" spans="3:12" ht="13.5" x14ac:dyDescent="0.25">
      <c r="C17" s="97" t="s">
        <v>147</v>
      </c>
      <c r="D17" s="98" t="s">
        <v>148</v>
      </c>
      <c r="E17" s="99">
        <v>600</v>
      </c>
      <c r="F17" s="98" t="s">
        <v>23</v>
      </c>
      <c r="G17" s="100">
        <v>0</v>
      </c>
      <c r="H17" s="101">
        <f t="shared" si="0"/>
        <v>0</v>
      </c>
      <c r="I17" s="102">
        <f t="shared" si="1"/>
        <v>0</v>
      </c>
      <c r="K17" s="12"/>
      <c r="L17" s="13"/>
    </row>
    <row r="18" spans="3:12" ht="13.5" x14ac:dyDescent="0.25">
      <c r="C18" s="97" t="s">
        <v>149</v>
      </c>
      <c r="D18" s="98" t="s">
        <v>150</v>
      </c>
      <c r="E18" s="99">
        <v>1</v>
      </c>
      <c r="F18" s="98" t="s">
        <v>72</v>
      </c>
      <c r="G18" s="100">
        <v>0</v>
      </c>
      <c r="H18" s="101">
        <f t="shared" si="0"/>
        <v>0</v>
      </c>
      <c r="I18" s="102">
        <f t="shared" si="1"/>
        <v>0</v>
      </c>
      <c r="K18" s="12"/>
      <c r="L18" s="13"/>
    </row>
    <row r="19" spans="3:12" ht="13.5" x14ac:dyDescent="0.25">
      <c r="C19" s="97" t="s">
        <v>151</v>
      </c>
      <c r="D19" s="98" t="s">
        <v>152</v>
      </c>
      <c r="E19" s="99">
        <v>6</v>
      </c>
      <c r="F19" s="98" t="s">
        <v>91</v>
      </c>
      <c r="G19" s="100">
        <v>0</v>
      </c>
      <c r="H19" s="101">
        <f t="shared" si="0"/>
        <v>0</v>
      </c>
      <c r="I19" s="102">
        <f t="shared" si="1"/>
        <v>0</v>
      </c>
      <c r="K19" s="12"/>
      <c r="L19" s="13"/>
    </row>
    <row r="20" spans="3:12" ht="13.5" x14ac:dyDescent="0.25">
      <c r="C20" s="97" t="s">
        <v>153</v>
      </c>
      <c r="D20" s="98" t="s">
        <v>154</v>
      </c>
      <c r="E20" s="99">
        <v>14</v>
      </c>
      <c r="F20" s="98" t="s">
        <v>91</v>
      </c>
      <c r="G20" s="100">
        <v>0</v>
      </c>
      <c r="H20" s="101">
        <f t="shared" si="0"/>
        <v>0</v>
      </c>
      <c r="I20" s="102">
        <f t="shared" si="1"/>
        <v>0</v>
      </c>
      <c r="K20" s="12"/>
      <c r="L20" s="13"/>
    </row>
    <row r="21" spans="3:12" ht="13.5" x14ac:dyDescent="0.25">
      <c r="C21" s="97" t="s">
        <v>155</v>
      </c>
      <c r="D21" s="98" t="s">
        <v>156</v>
      </c>
      <c r="E21" s="99">
        <v>14</v>
      </c>
      <c r="F21" s="98" t="s">
        <v>91</v>
      </c>
      <c r="G21" s="100">
        <v>0</v>
      </c>
      <c r="H21" s="101">
        <f t="shared" si="0"/>
        <v>0</v>
      </c>
      <c r="I21" s="102">
        <f t="shared" si="1"/>
        <v>0</v>
      </c>
      <c r="K21" s="12"/>
      <c r="L21" s="13"/>
    </row>
    <row r="22" spans="3:12" ht="13.5" x14ac:dyDescent="0.25">
      <c r="C22" s="97" t="s">
        <v>157</v>
      </c>
      <c r="D22" s="98" t="s">
        <v>549</v>
      </c>
      <c r="E22" s="103">
        <v>1</v>
      </c>
      <c r="F22" s="98" t="s">
        <v>25</v>
      </c>
      <c r="G22" s="100">
        <v>0</v>
      </c>
      <c r="H22" s="101">
        <f t="shared" si="0"/>
        <v>0</v>
      </c>
      <c r="I22" s="102">
        <f t="shared" si="1"/>
        <v>0</v>
      </c>
      <c r="K22" s="12"/>
      <c r="L22" s="13"/>
    </row>
    <row r="23" spans="3:12" ht="13.5" x14ac:dyDescent="0.25">
      <c r="C23" s="97" t="s">
        <v>162</v>
      </c>
      <c r="D23" s="98" t="s">
        <v>163</v>
      </c>
      <c r="E23" s="103">
        <v>0</v>
      </c>
      <c r="F23" s="98" t="s">
        <v>25</v>
      </c>
      <c r="G23" s="100">
        <v>0</v>
      </c>
      <c r="H23" s="101">
        <f t="shared" si="0"/>
        <v>0</v>
      </c>
      <c r="I23" s="102">
        <f t="shared" si="1"/>
        <v>0</v>
      </c>
      <c r="K23" s="12"/>
      <c r="L23" s="13"/>
    </row>
    <row r="24" spans="3:12" ht="16" x14ac:dyDescent="0.35">
      <c r="C24" s="65"/>
      <c r="D24" s="53"/>
      <c r="E24" s="53"/>
      <c r="F24" s="53"/>
      <c r="G24" s="53" t="s">
        <v>790</v>
      </c>
      <c r="H24" s="54">
        <f>SUM(H7:H23)</f>
        <v>0</v>
      </c>
      <c r="I24" s="56">
        <f>IF($I$4=0, 0, H23/$I$4)</f>
        <v>0</v>
      </c>
      <c r="K24" s="87"/>
      <c r="L24" s="56"/>
    </row>
    <row r="25" spans="3:12" ht="13.5" x14ac:dyDescent="0.25">
      <c r="C25" s="97" t="s">
        <v>164</v>
      </c>
      <c r="D25" s="98" t="s">
        <v>165</v>
      </c>
      <c r="E25" s="103">
        <v>1</v>
      </c>
      <c r="F25" s="98" t="s">
        <v>72</v>
      </c>
      <c r="G25" s="100">
        <v>0</v>
      </c>
      <c r="H25" s="101">
        <f t="shared" ref="H25:H47" si="2">E25*G25</f>
        <v>0</v>
      </c>
      <c r="I25" s="102">
        <f t="shared" ref="I25:I49" si="3">IF($I$4=0, 0, H25/$I$4)</f>
        <v>0</v>
      </c>
      <c r="K25" s="12"/>
      <c r="L25" s="13"/>
    </row>
    <row r="26" spans="3:12" ht="16" x14ac:dyDescent="0.35">
      <c r="C26" s="65"/>
      <c r="D26" s="53"/>
      <c r="E26" s="53"/>
      <c r="F26" s="53"/>
      <c r="G26" s="53" t="s">
        <v>791</v>
      </c>
      <c r="H26" s="54">
        <f>SUM(H25)</f>
        <v>0</v>
      </c>
      <c r="I26" s="56">
        <f t="shared" si="3"/>
        <v>0</v>
      </c>
      <c r="K26" s="87"/>
      <c r="L26" s="56"/>
    </row>
    <row r="27" spans="3:12" ht="13.5" x14ac:dyDescent="0.25">
      <c r="C27" s="97" t="s">
        <v>166</v>
      </c>
      <c r="D27" s="98" t="s">
        <v>167</v>
      </c>
      <c r="E27" s="103">
        <v>0</v>
      </c>
      <c r="F27" s="98" t="s">
        <v>72</v>
      </c>
      <c r="G27" s="100">
        <v>0</v>
      </c>
      <c r="H27" s="101">
        <f t="shared" si="2"/>
        <v>0</v>
      </c>
      <c r="I27" s="102">
        <f t="shared" si="3"/>
        <v>0</v>
      </c>
      <c r="K27" s="12"/>
      <c r="L27" s="13"/>
    </row>
    <row r="28" spans="3:12" ht="13.5" x14ac:dyDescent="0.25">
      <c r="C28" s="97" t="s">
        <v>168</v>
      </c>
      <c r="D28" s="98" t="s">
        <v>169</v>
      </c>
      <c r="E28" s="103">
        <v>0</v>
      </c>
      <c r="F28" s="98" t="s">
        <v>25</v>
      </c>
      <c r="G28" s="100">
        <v>0</v>
      </c>
      <c r="H28" s="101">
        <f t="shared" si="2"/>
        <v>0</v>
      </c>
      <c r="I28" s="102">
        <f t="shared" si="3"/>
        <v>0</v>
      </c>
      <c r="K28" s="12"/>
      <c r="L28" s="13"/>
    </row>
    <row r="29" spans="3:12" ht="13.5" x14ac:dyDescent="0.25">
      <c r="C29" s="97" t="s">
        <v>170</v>
      </c>
      <c r="D29" s="98" t="s">
        <v>171</v>
      </c>
      <c r="E29" s="103">
        <v>1</v>
      </c>
      <c r="F29" s="98" t="s">
        <v>72</v>
      </c>
      <c r="G29" s="100">
        <v>0</v>
      </c>
      <c r="H29" s="101">
        <f t="shared" si="2"/>
        <v>0</v>
      </c>
      <c r="I29" s="102">
        <f t="shared" si="3"/>
        <v>0</v>
      </c>
      <c r="K29" s="12"/>
      <c r="L29" s="13"/>
    </row>
    <row r="30" spans="3:12" ht="13.5" x14ac:dyDescent="0.25">
      <c r="C30" s="97" t="s">
        <v>172</v>
      </c>
      <c r="D30" s="98" t="s">
        <v>173</v>
      </c>
      <c r="E30" s="103">
        <v>1</v>
      </c>
      <c r="F30" s="98" t="s">
        <v>72</v>
      </c>
      <c r="G30" s="100">
        <v>0</v>
      </c>
      <c r="H30" s="101">
        <f t="shared" si="2"/>
        <v>0</v>
      </c>
      <c r="I30" s="102">
        <f t="shared" si="3"/>
        <v>0</v>
      </c>
      <c r="K30" s="12"/>
      <c r="L30" s="13"/>
    </row>
    <row r="31" spans="3:12" ht="13.5" x14ac:dyDescent="0.25">
      <c r="C31" s="97" t="s">
        <v>174</v>
      </c>
      <c r="D31" s="98" t="s">
        <v>175</v>
      </c>
      <c r="E31" s="103">
        <v>0</v>
      </c>
      <c r="F31" s="98" t="s">
        <v>72</v>
      </c>
      <c r="G31" s="100">
        <v>0</v>
      </c>
      <c r="H31" s="101">
        <f t="shared" si="2"/>
        <v>0</v>
      </c>
      <c r="I31" s="102">
        <f t="shared" si="3"/>
        <v>0</v>
      </c>
      <c r="K31" s="12"/>
      <c r="L31" s="13"/>
    </row>
    <row r="32" spans="3:12" ht="13.5" x14ac:dyDescent="0.25">
      <c r="C32" s="97" t="s">
        <v>176</v>
      </c>
      <c r="D32" s="98" t="s">
        <v>177</v>
      </c>
      <c r="E32" s="103">
        <v>0</v>
      </c>
      <c r="F32" s="98" t="s">
        <v>72</v>
      </c>
      <c r="G32" s="100">
        <v>0</v>
      </c>
      <c r="H32" s="101">
        <f t="shared" si="2"/>
        <v>0</v>
      </c>
      <c r="I32" s="102">
        <f t="shared" si="3"/>
        <v>0</v>
      </c>
      <c r="K32" s="12"/>
      <c r="L32" s="13"/>
    </row>
    <row r="33" spans="3:12" ht="13.5" x14ac:dyDescent="0.25">
      <c r="C33" s="97" t="s">
        <v>178</v>
      </c>
      <c r="D33" s="98" t="s">
        <v>179</v>
      </c>
      <c r="E33" s="103">
        <v>0</v>
      </c>
      <c r="F33" s="98" t="s">
        <v>72</v>
      </c>
      <c r="G33" s="100">
        <v>0</v>
      </c>
      <c r="H33" s="101">
        <f t="shared" si="2"/>
        <v>0</v>
      </c>
      <c r="I33" s="102">
        <f t="shared" si="3"/>
        <v>0</v>
      </c>
      <c r="K33" s="12"/>
      <c r="L33" s="13"/>
    </row>
    <row r="34" spans="3:12" ht="16" x14ac:dyDescent="0.35">
      <c r="C34" s="65"/>
      <c r="D34" s="53"/>
      <c r="E34" s="53"/>
      <c r="F34" s="53"/>
      <c r="G34" s="53" t="s">
        <v>792</v>
      </c>
      <c r="H34" s="54">
        <f>SUM(H27:H33)</f>
        <v>0</v>
      </c>
      <c r="I34" s="56">
        <f t="shared" si="3"/>
        <v>0</v>
      </c>
      <c r="K34" s="87"/>
      <c r="L34" s="56"/>
    </row>
    <row r="35" spans="3:12" ht="13.5" x14ac:dyDescent="0.25">
      <c r="C35" s="97" t="s">
        <v>180</v>
      </c>
      <c r="D35" s="98" t="s">
        <v>181</v>
      </c>
      <c r="E35" s="103">
        <v>10</v>
      </c>
      <c r="F35" s="98" t="s">
        <v>91</v>
      </c>
      <c r="G35" s="100">
        <v>0</v>
      </c>
      <c r="H35" s="101">
        <f t="shared" si="2"/>
        <v>0</v>
      </c>
      <c r="I35" s="102">
        <f t="shared" si="3"/>
        <v>0</v>
      </c>
      <c r="K35" s="12"/>
      <c r="L35" s="13"/>
    </row>
    <row r="36" spans="3:12" ht="13.5" x14ac:dyDescent="0.25">
      <c r="C36" s="97" t="s">
        <v>182</v>
      </c>
      <c r="D36" s="98" t="s">
        <v>183</v>
      </c>
      <c r="E36" s="103">
        <v>0</v>
      </c>
      <c r="F36" s="98" t="s">
        <v>91</v>
      </c>
      <c r="G36" s="100">
        <v>0</v>
      </c>
      <c r="H36" s="101">
        <f t="shared" si="2"/>
        <v>0</v>
      </c>
      <c r="I36" s="102">
        <f t="shared" si="3"/>
        <v>0</v>
      </c>
      <c r="K36" s="12"/>
      <c r="L36" s="13"/>
    </row>
    <row r="37" spans="3:12" ht="13.5" x14ac:dyDescent="0.25">
      <c r="C37" s="97" t="s">
        <v>184</v>
      </c>
      <c r="D37" s="98" t="s">
        <v>185</v>
      </c>
      <c r="E37" s="103">
        <v>0</v>
      </c>
      <c r="F37" s="98" t="s">
        <v>91</v>
      </c>
      <c r="G37" s="100">
        <v>0</v>
      </c>
      <c r="H37" s="101">
        <f t="shared" si="2"/>
        <v>0</v>
      </c>
      <c r="I37" s="102">
        <f t="shared" si="3"/>
        <v>0</v>
      </c>
      <c r="K37" s="12"/>
      <c r="L37" s="13"/>
    </row>
    <row r="38" spans="3:12" ht="13.5" x14ac:dyDescent="0.25">
      <c r="C38" s="97" t="s">
        <v>186</v>
      </c>
      <c r="D38" s="98" t="s">
        <v>187</v>
      </c>
      <c r="E38" s="103">
        <v>14</v>
      </c>
      <c r="F38" s="98" t="s">
        <v>91</v>
      </c>
      <c r="G38" s="100">
        <v>0</v>
      </c>
      <c r="H38" s="101">
        <f t="shared" si="2"/>
        <v>0</v>
      </c>
      <c r="I38" s="102">
        <f t="shared" si="3"/>
        <v>0</v>
      </c>
      <c r="K38" s="12"/>
      <c r="L38" s="13"/>
    </row>
    <row r="39" spans="3:12" ht="13.5" x14ac:dyDescent="0.25">
      <c r="C39" s="97" t="s">
        <v>188</v>
      </c>
      <c r="D39" s="98" t="s">
        <v>189</v>
      </c>
      <c r="E39" s="103">
        <v>12</v>
      </c>
      <c r="F39" s="98" t="s">
        <v>91</v>
      </c>
      <c r="G39" s="100">
        <v>0</v>
      </c>
      <c r="H39" s="101">
        <f t="shared" si="2"/>
        <v>0</v>
      </c>
      <c r="I39" s="102">
        <f t="shared" si="3"/>
        <v>0</v>
      </c>
      <c r="K39" s="12"/>
      <c r="L39" s="13"/>
    </row>
    <row r="40" spans="3:12" ht="13.5" x14ac:dyDescent="0.25">
      <c r="C40" s="97" t="s">
        <v>190</v>
      </c>
      <c r="D40" s="98" t="s">
        <v>191</v>
      </c>
      <c r="E40" s="103">
        <v>12</v>
      </c>
      <c r="F40" s="98" t="s">
        <v>91</v>
      </c>
      <c r="G40" s="100">
        <v>0</v>
      </c>
      <c r="H40" s="101">
        <f t="shared" si="2"/>
        <v>0</v>
      </c>
      <c r="I40" s="102">
        <f t="shared" si="3"/>
        <v>0</v>
      </c>
      <c r="K40" s="12"/>
      <c r="L40" s="13"/>
    </row>
    <row r="41" spans="3:12" ht="16" x14ac:dyDescent="0.35">
      <c r="C41" s="65"/>
      <c r="D41" s="53"/>
      <c r="E41" s="53"/>
      <c r="F41" s="53"/>
      <c r="G41" s="53" t="s">
        <v>793</v>
      </c>
      <c r="H41" s="54">
        <f>SUM(H35:H40)</f>
        <v>0</v>
      </c>
      <c r="I41" s="56">
        <f t="shared" si="3"/>
        <v>0</v>
      </c>
      <c r="K41" s="87"/>
      <c r="L41" s="56"/>
    </row>
    <row r="42" spans="3:12" ht="13.5" x14ac:dyDescent="0.25">
      <c r="C42" s="97" t="s">
        <v>192</v>
      </c>
      <c r="D42" s="98" t="s">
        <v>566</v>
      </c>
      <c r="E42" s="103">
        <v>0</v>
      </c>
      <c r="F42" s="98" t="s">
        <v>72</v>
      </c>
      <c r="G42" s="100">
        <v>0</v>
      </c>
      <c r="H42" s="104">
        <f t="shared" si="2"/>
        <v>0</v>
      </c>
      <c r="I42" s="102">
        <f t="shared" si="3"/>
        <v>0</v>
      </c>
      <c r="K42" s="12"/>
      <c r="L42" s="13"/>
    </row>
    <row r="43" spans="3:12" ht="13.5" x14ac:dyDescent="0.25">
      <c r="C43" s="97" t="s">
        <v>193</v>
      </c>
      <c r="D43" s="98" t="s">
        <v>194</v>
      </c>
      <c r="E43" s="103">
        <v>0</v>
      </c>
      <c r="F43" s="98" t="s">
        <v>72</v>
      </c>
      <c r="G43" s="100">
        <v>0</v>
      </c>
      <c r="H43" s="104">
        <f t="shared" si="2"/>
        <v>0</v>
      </c>
      <c r="I43" s="102">
        <f t="shared" si="3"/>
        <v>0</v>
      </c>
      <c r="K43" s="12"/>
      <c r="L43" s="13"/>
    </row>
    <row r="44" spans="3:12" ht="13.5" x14ac:dyDescent="0.25">
      <c r="C44" s="97" t="s">
        <v>195</v>
      </c>
      <c r="D44" s="98" t="s">
        <v>196</v>
      </c>
      <c r="E44" s="103">
        <v>0</v>
      </c>
      <c r="F44" s="98" t="s">
        <v>72</v>
      </c>
      <c r="G44" s="100">
        <v>0</v>
      </c>
      <c r="H44" s="104">
        <f t="shared" si="2"/>
        <v>0</v>
      </c>
      <c r="I44" s="102">
        <f t="shared" si="3"/>
        <v>0</v>
      </c>
      <c r="K44" s="12"/>
      <c r="L44" s="13"/>
    </row>
    <row r="45" spans="3:12" ht="13.5" x14ac:dyDescent="0.25">
      <c r="C45" s="97" t="s">
        <v>197</v>
      </c>
      <c r="D45" s="98" t="s">
        <v>198</v>
      </c>
      <c r="E45" s="103">
        <v>1</v>
      </c>
      <c r="F45" s="98" t="s">
        <v>72</v>
      </c>
      <c r="G45" s="100">
        <v>0</v>
      </c>
      <c r="H45" s="104">
        <f t="shared" si="2"/>
        <v>0</v>
      </c>
      <c r="I45" s="102">
        <f t="shared" si="3"/>
        <v>0</v>
      </c>
      <c r="K45" s="12"/>
      <c r="L45" s="13"/>
    </row>
    <row r="46" spans="3:12" ht="13.5" x14ac:dyDescent="0.25">
      <c r="C46" s="97" t="s">
        <v>199</v>
      </c>
      <c r="D46" s="98" t="s">
        <v>200</v>
      </c>
      <c r="E46" s="103">
        <v>0</v>
      </c>
      <c r="F46" s="98" t="s">
        <v>72</v>
      </c>
      <c r="G46" s="100">
        <v>0</v>
      </c>
      <c r="H46" s="104">
        <f t="shared" si="2"/>
        <v>0</v>
      </c>
      <c r="I46" s="102">
        <f t="shared" si="3"/>
        <v>0</v>
      </c>
      <c r="K46" s="12"/>
      <c r="L46" s="13"/>
    </row>
    <row r="47" spans="3:12" ht="13.5" x14ac:dyDescent="0.25">
      <c r="C47" s="97" t="s">
        <v>201</v>
      </c>
      <c r="D47" s="98" t="s">
        <v>202</v>
      </c>
      <c r="E47" s="103">
        <v>0</v>
      </c>
      <c r="F47" s="98" t="s">
        <v>72</v>
      </c>
      <c r="G47" s="100">
        <v>0</v>
      </c>
      <c r="H47" s="104">
        <f t="shared" si="2"/>
        <v>0</v>
      </c>
      <c r="I47" s="102">
        <f t="shared" si="3"/>
        <v>0</v>
      </c>
      <c r="K47" s="12"/>
      <c r="L47" s="13"/>
    </row>
    <row r="48" spans="3:12" ht="16" x14ac:dyDescent="0.35">
      <c r="C48" s="65"/>
      <c r="D48" s="53"/>
      <c r="E48" s="53"/>
      <c r="F48" s="53"/>
      <c r="G48" s="52" t="s">
        <v>794</v>
      </c>
      <c r="H48" s="54">
        <f>SUM(H42:H47)</f>
        <v>0</v>
      </c>
      <c r="I48" s="56">
        <f t="shared" si="3"/>
        <v>0</v>
      </c>
      <c r="K48" s="85"/>
      <c r="L48" s="86"/>
    </row>
    <row r="49" spans="3:12" ht="18" thickBot="1" x14ac:dyDescent="0.4">
      <c r="C49" s="66"/>
      <c r="D49" s="50"/>
      <c r="E49" s="50"/>
      <c r="F49" s="31"/>
      <c r="G49" s="50" t="s">
        <v>944</v>
      </c>
      <c r="H49" s="95">
        <f>SUM(H24,H26,H34,H41,H48)</f>
        <v>0</v>
      </c>
      <c r="I49" s="95">
        <f t="shared" si="3"/>
        <v>0</v>
      </c>
      <c r="K49" s="73"/>
      <c r="L49" s="74"/>
    </row>
    <row r="50" spans="3:12" ht="18" thickBot="1" x14ac:dyDescent="0.4">
      <c r="C50" s="64" t="s">
        <v>796</v>
      </c>
      <c r="D50" s="43"/>
      <c r="E50" s="43"/>
      <c r="F50" s="43"/>
      <c r="G50" s="43"/>
      <c r="H50" s="44"/>
      <c r="I50" s="45"/>
      <c r="K50" s="80"/>
      <c r="L50" s="45"/>
    </row>
    <row r="51" spans="3:12" ht="13.5" x14ac:dyDescent="0.25">
      <c r="C51" s="97" t="s">
        <v>21</v>
      </c>
      <c r="D51" s="98" t="s">
        <v>206</v>
      </c>
      <c r="E51" s="98">
        <v>1</v>
      </c>
      <c r="F51" s="98" t="s">
        <v>72</v>
      </c>
      <c r="G51" s="100">
        <v>0</v>
      </c>
      <c r="H51" s="101">
        <f t="shared" ref="H51:H59" si="4">E51*G51</f>
        <v>0</v>
      </c>
      <c r="I51" s="102">
        <f t="shared" ref="I51:I60" si="5">IF($I$4=0, 0, H51/$I$4)</f>
        <v>0</v>
      </c>
      <c r="K51" s="39"/>
      <c r="L51" s="40"/>
    </row>
    <row r="52" spans="3:12" ht="13.5" x14ac:dyDescent="0.25">
      <c r="C52" s="97" t="s">
        <v>21</v>
      </c>
      <c r="D52" s="98" t="s">
        <v>22</v>
      </c>
      <c r="E52" s="98">
        <v>2050</v>
      </c>
      <c r="F52" s="98" t="s">
        <v>23</v>
      </c>
      <c r="G52" s="100">
        <v>0</v>
      </c>
      <c r="H52" s="101">
        <f t="shared" si="4"/>
        <v>0</v>
      </c>
      <c r="I52" s="102">
        <f t="shared" si="5"/>
        <v>0</v>
      </c>
      <c r="K52" s="12"/>
      <c r="L52" s="13"/>
    </row>
    <row r="53" spans="3:12" ht="13.5" x14ac:dyDescent="0.25">
      <c r="C53" s="97" t="s">
        <v>21</v>
      </c>
      <c r="D53" s="98" t="s">
        <v>24</v>
      </c>
      <c r="E53" s="98">
        <v>96</v>
      </c>
      <c r="F53" s="98" t="s">
        <v>25</v>
      </c>
      <c r="G53" s="100">
        <v>0</v>
      </c>
      <c r="H53" s="101">
        <f t="shared" si="4"/>
        <v>0</v>
      </c>
      <c r="I53" s="102">
        <f t="shared" si="5"/>
        <v>0</v>
      </c>
      <c r="K53" s="12"/>
      <c r="L53" s="13"/>
    </row>
    <row r="54" spans="3:12" ht="13.5" x14ac:dyDescent="0.25">
      <c r="C54" s="97" t="s">
        <v>21</v>
      </c>
      <c r="D54" s="98" t="s">
        <v>26</v>
      </c>
      <c r="E54" s="98">
        <v>18000</v>
      </c>
      <c r="F54" s="98" t="s">
        <v>27</v>
      </c>
      <c r="G54" s="100">
        <v>0</v>
      </c>
      <c r="H54" s="101">
        <f t="shared" si="4"/>
        <v>0</v>
      </c>
      <c r="I54" s="102">
        <f t="shared" si="5"/>
        <v>0</v>
      </c>
      <c r="K54" s="12"/>
      <c r="L54" s="13"/>
    </row>
    <row r="55" spans="3:12" ht="13.5" x14ac:dyDescent="0.25">
      <c r="C55" s="97" t="s">
        <v>21</v>
      </c>
      <c r="D55" s="98" t="s">
        <v>28</v>
      </c>
      <c r="E55" s="98">
        <v>60000</v>
      </c>
      <c r="F55" s="98" t="s">
        <v>27</v>
      </c>
      <c r="G55" s="100">
        <v>0</v>
      </c>
      <c r="H55" s="101">
        <f t="shared" si="4"/>
        <v>0</v>
      </c>
      <c r="I55" s="102">
        <f t="shared" si="5"/>
        <v>0</v>
      </c>
      <c r="K55" s="12"/>
      <c r="L55" s="13"/>
    </row>
    <row r="56" spans="3:12" ht="13.5" x14ac:dyDescent="0.25">
      <c r="C56" s="97" t="s">
        <v>21</v>
      </c>
      <c r="D56" s="98" t="s">
        <v>208</v>
      </c>
      <c r="E56" s="98">
        <v>704</v>
      </c>
      <c r="F56" s="98" t="s">
        <v>27</v>
      </c>
      <c r="G56" s="100">
        <v>0</v>
      </c>
      <c r="H56" s="101">
        <f t="shared" si="4"/>
        <v>0</v>
      </c>
      <c r="I56" s="102">
        <f t="shared" si="5"/>
        <v>0</v>
      </c>
      <c r="K56" s="12"/>
      <c r="L56" s="13"/>
    </row>
    <row r="57" spans="3:12" ht="13.5" x14ac:dyDescent="0.25">
      <c r="C57" s="97" t="s">
        <v>21</v>
      </c>
      <c r="D57" s="98" t="s">
        <v>209</v>
      </c>
      <c r="E57" s="98">
        <v>1</v>
      </c>
      <c r="F57" s="98" t="s">
        <v>27</v>
      </c>
      <c r="G57" s="100">
        <v>0</v>
      </c>
      <c r="H57" s="101">
        <f t="shared" si="4"/>
        <v>0</v>
      </c>
      <c r="I57" s="102">
        <f t="shared" si="5"/>
        <v>0</v>
      </c>
      <c r="K57" s="12"/>
      <c r="L57" s="13"/>
    </row>
    <row r="58" spans="3:12" ht="13.5" x14ac:dyDescent="0.25">
      <c r="C58" s="97" t="s">
        <v>21</v>
      </c>
      <c r="D58" s="98" t="s">
        <v>210</v>
      </c>
      <c r="E58" s="98">
        <v>1</v>
      </c>
      <c r="F58" s="98" t="s">
        <v>27</v>
      </c>
      <c r="G58" s="100">
        <v>0</v>
      </c>
      <c r="H58" s="101">
        <f t="shared" si="4"/>
        <v>0</v>
      </c>
      <c r="I58" s="102">
        <f t="shared" si="5"/>
        <v>0</v>
      </c>
      <c r="K58" s="12"/>
      <c r="L58" s="13"/>
    </row>
    <row r="59" spans="3:12" ht="13.5" x14ac:dyDescent="0.25">
      <c r="C59" s="97" t="s">
        <v>21</v>
      </c>
      <c r="D59" s="98" t="s">
        <v>250</v>
      </c>
      <c r="E59" s="98">
        <v>10</v>
      </c>
      <c r="F59" s="98" t="s">
        <v>27</v>
      </c>
      <c r="G59" s="100">
        <v>0</v>
      </c>
      <c r="H59" s="101">
        <f t="shared" si="4"/>
        <v>0</v>
      </c>
      <c r="I59" s="102">
        <f t="shared" si="5"/>
        <v>0</v>
      </c>
      <c r="K59" s="81"/>
      <c r="L59" s="75"/>
    </row>
    <row r="60" spans="3:12" ht="16" x14ac:dyDescent="0.35">
      <c r="C60" s="67"/>
      <c r="D60" s="33"/>
      <c r="E60" s="33"/>
      <c r="F60" s="33"/>
      <c r="G60" s="53" t="s">
        <v>797</v>
      </c>
      <c r="H60" s="54">
        <f>SUM(H51:H59)</f>
        <v>0</v>
      </c>
      <c r="I60" s="56">
        <f t="shared" si="5"/>
        <v>0</v>
      </c>
      <c r="K60" s="87"/>
      <c r="L60" s="56"/>
    </row>
    <row r="61" spans="3:12" ht="13.5" x14ac:dyDescent="0.25">
      <c r="C61" s="97" t="s">
        <v>211</v>
      </c>
      <c r="D61" s="98" t="s">
        <v>212</v>
      </c>
      <c r="E61" s="98">
        <v>0</v>
      </c>
      <c r="F61" s="98" t="s">
        <v>27</v>
      </c>
      <c r="G61" s="100">
        <v>0</v>
      </c>
      <c r="H61" s="101">
        <f>E61*G61</f>
        <v>0</v>
      </c>
      <c r="I61" s="102">
        <f>IF($I$4=0, 0, H61/$I$4)</f>
        <v>0</v>
      </c>
      <c r="K61" s="88"/>
      <c r="L61" s="89"/>
    </row>
    <row r="62" spans="3:12" ht="16" x14ac:dyDescent="0.35">
      <c r="C62" s="68"/>
      <c r="D62" s="29"/>
      <c r="E62" s="29"/>
      <c r="F62" s="29"/>
      <c r="G62" s="53" t="s">
        <v>798</v>
      </c>
      <c r="H62" s="54">
        <f>SUM(H61)</f>
        <v>0</v>
      </c>
      <c r="I62" s="56">
        <f t="shared" ref="I62" si="6">IF($I$4=0, 0, H62/$I$4)</f>
        <v>0</v>
      </c>
      <c r="K62" s="87"/>
      <c r="L62" s="56"/>
    </row>
    <row r="63" spans="3:12" ht="13.5" x14ac:dyDescent="0.25">
      <c r="C63" s="97" t="s">
        <v>31</v>
      </c>
      <c r="D63" s="98" t="s">
        <v>32</v>
      </c>
      <c r="E63" s="98">
        <v>120000</v>
      </c>
      <c r="F63" s="98" t="s">
        <v>27</v>
      </c>
      <c r="G63" s="100">
        <v>0</v>
      </c>
      <c r="H63" s="101">
        <f>E63*G63</f>
        <v>0</v>
      </c>
      <c r="I63" s="102">
        <f>IF($I$4=0, 0, H63/$I$4)</f>
        <v>0</v>
      </c>
      <c r="K63" s="12"/>
      <c r="L63" s="13"/>
    </row>
    <row r="64" spans="3:12" ht="13.5" x14ac:dyDescent="0.25">
      <c r="C64" s="97" t="s">
        <v>213</v>
      </c>
      <c r="D64" s="98" t="s">
        <v>214</v>
      </c>
      <c r="E64" s="98">
        <v>0</v>
      </c>
      <c r="F64" s="98" t="s">
        <v>27</v>
      </c>
      <c r="G64" s="100">
        <v>0</v>
      </c>
      <c r="H64" s="101">
        <f>E64*G64</f>
        <v>0</v>
      </c>
      <c r="I64" s="102">
        <f>IF($I$4=0, 0, H64/$I$4)</f>
        <v>0</v>
      </c>
      <c r="K64" s="12"/>
      <c r="L64" s="13"/>
    </row>
    <row r="65" spans="3:12" ht="16" x14ac:dyDescent="0.35">
      <c r="C65" s="69"/>
      <c r="D65" s="30"/>
      <c r="E65" s="30"/>
      <c r="F65" s="30"/>
      <c r="G65" s="53" t="s">
        <v>799</v>
      </c>
      <c r="H65" s="54">
        <f>SUM(H63:H64)</f>
        <v>0</v>
      </c>
      <c r="I65" s="56">
        <f t="shared" ref="I65" si="7">IF($I$4=0, 0, H65/$I$4)</f>
        <v>0</v>
      </c>
      <c r="K65" s="87"/>
      <c r="L65" s="56"/>
    </row>
    <row r="66" spans="3:12" ht="13.5" x14ac:dyDescent="0.25">
      <c r="C66" s="97" t="s">
        <v>33</v>
      </c>
      <c r="D66" s="98" t="s">
        <v>34</v>
      </c>
      <c r="E66" s="98">
        <v>300000</v>
      </c>
      <c r="F66" s="98" t="s">
        <v>27</v>
      </c>
      <c r="G66" s="100">
        <v>0</v>
      </c>
      <c r="H66" s="101">
        <f t="shared" ref="H66:H67" si="8">E66*G66</f>
        <v>0</v>
      </c>
      <c r="I66" s="102">
        <f t="shared" ref="I66:I69" si="9">IF($I$4=0, 0, H66/$I$4)</f>
        <v>0</v>
      </c>
      <c r="K66" s="90"/>
      <c r="L66" s="91"/>
    </row>
    <row r="67" spans="3:12" ht="13.5" x14ac:dyDescent="0.25">
      <c r="C67" s="97" t="s">
        <v>33</v>
      </c>
      <c r="D67" s="98" t="s">
        <v>215</v>
      </c>
      <c r="E67" s="98">
        <v>0</v>
      </c>
      <c r="F67" s="98" t="s">
        <v>27</v>
      </c>
      <c r="G67" s="100">
        <v>0</v>
      </c>
      <c r="H67" s="101">
        <f t="shared" si="8"/>
        <v>0</v>
      </c>
      <c r="I67" s="102">
        <f t="shared" si="9"/>
        <v>0</v>
      </c>
      <c r="K67" s="12"/>
      <c r="L67" s="13"/>
    </row>
    <row r="68" spans="3:12" ht="16" x14ac:dyDescent="0.35">
      <c r="C68" s="68"/>
      <c r="D68" s="29"/>
      <c r="E68" s="29"/>
      <c r="F68" s="29"/>
      <c r="G68" s="53" t="s">
        <v>800</v>
      </c>
      <c r="H68" s="54">
        <f>SUM(H66:H67)</f>
        <v>0</v>
      </c>
      <c r="I68" s="56">
        <f t="shared" si="9"/>
        <v>0</v>
      </c>
      <c r="K68" s="82"/>
      <c r="L68" s="83"/>
    </row>
    <row r="69" spans="3:12" ht="18" thickBot="1" x14ac:dyDescent="0.4">
      <c r="C69" s="66"/>
      <c r="D69" s="50"/>
      <c r="E69" s="50"/>
      <c r="F69" s="31"/>
      <c r="G69" s="50" t="s">
        <v>945</v>
      </c>
      <c r="H69" s="95">
        <f>SUM(H60,H62,H65,H68)</f>
        <v>0</v>
      </c>
      <c r="I69" s="95">
        <f t="shared" si="9"/>
        <v>0</v>
      </c>
      <c r="K69" s="73"/>
      <c r="L69" s="74"/>
    </row>
    <row r="70" spans="3:12" ht="18" thickBot="1" x14ac:dyDescent="0.4">
      <c r="C70" s="64" t="s">
        <v>802</v>
      </c>
      <c r="D70" s="43"/>
      <c r="E70" s="43"/>
      <c r="F70" s="43"/>
      <c r="G70" s="43"/>
      <c r="H70" s="44"/>
      <c r="I70" s="45"/>
      <c r="K70" s="80"/>
      <c r="L70" s="45"/>
    </row>
    <row r="71" spans="3:12" ht="13.5" x14ac:dyDescent="0.25">
      <c r="C71" s="97" t="s">
        <v>35</v>
      </c>
      <c r="D71" s="98" t="s">
        <v>803</v>
      </c>
      <c r="E71" s="98">
        <v>30000</v>
      </c>
      <c r="F71" s="98" t="s">
        <v>27</v>
      </c>
      <c r="G71" s="100">
        <v>0</v>
      </c>
      <c r="H71" s="101">
        <f t="shared" ref="H71:H73" si="10">E71*G71</f>
        <v>0</v>
      </c>
      <c r="I71" s="102">
        <f t="shared" ref="I71:I75" si="11">IF($I$4=0, 0, H71/$I$4)</f>
        <v>0</v>
      </c>
      <c r="K71" s="39"/>
      <c r="L71" s="40"/>
    </row>
    <row r="72" spans="3:12" ht="13.5" x14ac:dyDescent="0.25">
      <c r="C72" s="97" t="s">
        <v>35</v>
      </c>
      <c r="D72" s="98" t="s">
        <v>804</v>
      </c>
      <c r="E72" s="98">
        <v>0</v>
      </c>
      <c r="F72" s="98" t="s">
        <v>27</v>
      </c>
      <c r="G72" s="100">
        <v>0</v>
      </c>
      <c r="H72" s="101">
        <f t="shared" si="10"/>
        <v>0</v>
      </c>
      <c r="I72" s="102">
        <f t="shared" si="11"/>
        <v>0</v>
      </c>
      <c r="K72" s="12"/>
      <c r="L72" s="13"/>
    </row>
    <row r="73" spans="3:12" ht="13.5" x14ac:dyDescent="0.25">
      <c r="C73" s="97" t="s">
        <v>35</v>
      </c>
      <c r="D73" s="98" t="s">
        <v>36</v>
      </c>
      <c r="E73" s="98">
        <v>33075</v>
      </c>
      <c r="F73" s="98" t="s">
        <v>27</v>
      </c>
      <c r="G73" s="100">
        <v>0</v>
      </c>
      <c r="H73" s="101">
        <f t="shared" si="10"/>
        <v>0</v>
      </c>
      <c r="I73" s="102">
        <f t="shared" si="11"/>
        <v>0</v>
      </c>
      <c r="K73" s="12"/>
      <c r="L73" s="13"/>
    </row>
    <row r="74" spans="3:12" ht="16" x14ac:dyDescent="0.35">
      <c r="C74" s="68"/>
      <c r="D74" s="29"/>
      <c r="E74" s="29"/>
      <c r="F74" s="29"/>
      <c r="G74" s="53" t="s">
        <v>805</v>
      </c>
      <c r="H74" s="54">
        <f>SUM(H71:H73)</f>
        <v>0</v>
      </c>
      <c r="I74" s="56">
        <f t="shared" si="11"/>
        <v>0</v>
      </c>
      <c r="K74" s="82"/>
      <c r="L74" s="83"/>
    </row>
    <row r="75" spans="3:12" ht="18" thickBot="1" x14ac:dyDescent="0.4">
      <c r="C75" s="66"/>
      <c r="D75" s="50"/>
      <c r="E75" s="50"/>
      <c r="F75" s="31"/>
      <c r="G75" s="50" t="s">
        <v>946</v>
      </c>
      <c r="H75" s="95">
        <f>SUM(H74)</f>
        <v>0</v>
      </c>
      <c r="I75" s="95">
        <f t="shared" si="11"/>
        <v>0</v>
      </c>
      <c r="K75" s="73"/>
      <c r="L75" s="74"/>
    </row>
    <row r="76" spans="3:12" ht="17.5" x14ac:dyDescent="0.35">
      <c r="C76" s="64" t="s">
        <v>807</v>
      </c>
      <c r="D76" s="43"/>
      <c r="E76" s="43"/>
      <c r="F76" s="43"/>
      <c r="G76" s="43"/>
      <c r="H76" s="44"/>
      <c r="I76" s="45"/>
      <c r="K76" s="80"/>
      <c r="L76" s="45"/>
    </row>
    <row r="77" spans="3:12" ht="13.5" x14ac:dyDescent="0.25">
      <c r="C77" s="97" t="s">
        <v>217</v>
      </c>
      <c r="D77" s="98" t="s">
        <v>218</v>
      </c>
      <c r="E77" s="98">
        <v>1</v>
      </c>
      <c r="F77" s="98" t="s">
        <v>72</v>
      </c>
      <c r="G77" s="100">
        <v>0</v>
      </c>
      <c r="H77" s="101">
        <f t="shared" ref="H77:H83" si="12">E77*G77</f>
        <v>0</v>
      </c>
      <c r="I77" s="102">
        <f t="shared" ref="I77:I85" si="13">IF($I$4=0, 0, H77/$I$4)</f>
        <v>0</v>
      </c>
      <c r="K77" s="12"/>
      <c r="L77" s="13"/>
    </row>
    <row r="78" spans="3:12" ht="13.5" x14ac:dyDescent="0.25">
      <c r="C78" s="97" t="s">
        <v>219</v>
      </c>
      <c r="D78" s="98" t="s">
        <v>220</v>
      </c>
      <c r="E78" s="98">
        <v>1</v>
      </c>
      <c r="F78" s="98" t="s">
        <v>72</v>
      </c>
      <c r="G78" s="100">
        <v>0</v>
      </c>
      <c r="H78" s="101">
        <f t="shared" si="12"/>
        <v>0</v>
      </c>
      <c r="I78" s="102">
        <f t="shared" si="13"/>
        <v>0</v>
      </c>
      <c r="K78" s="12"/>
      <c r="L78" s="13"/>
    </row>
    <row r="79" spans="3:12" ht="13.5" x14ac:dyDescent="0.25">
      <c r="C79" s="97" t="s">
        <v>221</v>
      </c>
      <c r="D79" s="98" t="s">
        <v>222</v>
      </c>
      <c r="E79" s="98">
        <v>150</v>
      </c>
      <c r="F79" s="98" t="s">
        <v>25</v>
      </c>
      <c r="G79" s="100">
        <v>0</v>
      </c>
      <c r="H79" s="101">
        <f t="shared" si="12"/>
        <v>0</v>
      </c>
      <c r="I79" s="102">
        <f t="shared" si="13"/>
        <v>0</v>
      </c>
      <c r="K79" s="12"/>
      <c r="L79" s="13"/>
    </row>
    <row r="80" spans="3:12" ht="13.5" x14ac:dyDescent="0.25">
      <c r="C80" s="97" t="s">
        <v>221</v>
      </c>
      <c r="D80" s="98" t="s">
        <v>223</v>
      </c>
      <c r="E80" s="98">
        <v>5</v>
      </c>
      <c r="F80" s="98" t="s">
        <v>25</v>
      </c>
      <c r="G80" s="100">
        <v>0</v>
      </c>
      <c r="H80" s="101">
        <f t="shared" si="12"/>
        <v>0</v>
      </c>
      <c r="I80" s="102">
        <f t="shared" si="13"/>
        <v>0</v>
      </c>
      <c r="K80" s="12"/>
      <c r="L80" s="13"/>
    </row>
    <row r="81" spans="3:12" ht="13.5" x14ac:dyDescent="0.25">
      <c r="C81" s="97" t="s">
        <v>221</v>
      </c>
      <c r="D81" s="98" t="s">
        <v>808</v>
      </c>
      <c r="E81" s="98">
        <v>5</v>
      </c>
      <c r="F81" s="98" t="s">
        <v>25</v>
      </c>
      <c r="G81" s="100">
        <v>0</v>
      </c>
      <c r="H81" s="101">
        <f t="shared" si="12"/>
        <v>0</v>
      </c>
      <c r="I81" s="102">
        <f t="shared" si="13"/>
        <v>0</v>
      </c>
      <c r="K81" s="12"/>
      <c r="L81" s="13"/>
    </row>
    <row r="82" spans="3:12" ht="13.5" x14ac:dyDescent="0.25">
      <c r="C82" s="97" t="s">
        <v>221</v>
      </c>
      <c r="D82" s="98" t="s">
        <v>224</v>
      </c>
      <c r="E82" s="98">
        <v>15</v>
      </c>
      <c r="F82" s="98" t="s">
        <v>23</v>
      </c>
      <c r="G82" s="100">
        <v>0</v>
      </c>
      <c r="H82" s="101">
        <f t="shared" si="12"/>
        <v>0</v>
      </c>
      <c r="I82" s="102">
        <f t="shared" si="13"/>
        <v>0</v>
      </c>
      <c r="K82" s="12"/>
      <c r="L82" s="13"/>
    </row>
    <row r="83" spans="3:12" ht="13.5" x14ac:dyDescent="0.25">
      <c r="C83" s="97" t="s">
        <v>221</v>
      </c>
      <c r="D83" s="98" t="s">
        <v>225</v>
      </c>
      <c r="E83" s="98">
        <v>150</v>
      </c>
      <c r="F83" s="98" t="s">
        <v>25</v>
      </c>
      <c r="G83" s="100">
        <v>0</v>
      </c>
      <c r="H83" s="101">
        <f t="shared" si="12"/>
        <v>0</v>
      </c>
      <c r="I83" s="102">
        <f t="shared" si="13"/>
        <v>0</v>
      </c>
      <c r="K83" s="12"/>
      <c r="L83" s="13"/>
    </row>
    <row r="84" spans="3:12" ht="16" x14ac:dyDescent="0.35">
      <c r="C84" s="68"/>
      <c r="D84" s="29"/>
      <c r="E84" s="29"/>
      <c r="F84" s="29"/>
      <c r="G84" s="53" t="s">
        <v>809</v>
      </c>
      <c r="H84" s="54">
        <f>SUM(H77:H83)</f>
        <v>0</v>
      </c>
      <c r="I84" s="56">
        <f t="shared" si="13"/>
        <v>0</v>
      </c>
      <c r="K84" s="82"/>
      <c r="L84" s="83"/>
    </row>
    <row r="85" spans="3:12" ht="18" thickBot="1" x14ac:dyDescent="0.4">
      <c r="C85" s="66"/>
      <c r="D85" s="50"/>
      <c r="E85" s="50"/>
      <c r="F85" s="31"/>
      <c r="G85" s="50" t="s">
        <v>947</v>
      </c>
      <c r="H85" s="95">
        <f>SUM(H84)</f>
        <v>0</v>
      </c>
      <c r="I85" s="95">
        <f t="shared" si="13"/>
        <v>0</v>
      </c>
      <c r="K85" s="73"/>
      <c r="L85" s="74"/>
    </row>
    <row r="86" spans="3:12" ht="17.5" x14ac:dyDescent="0.35">
      <c r="C86" s="64" t="s">
        <v>811</v>
      </c>
      <c r="D86" s="43"/>
      <c r="E86" s="43"/>
      <c r="F86" s="43"/>
      <c r="G86" s="43"/>
      <c r="H86" s="44"/>
      <c r="I86" s="45"/>
      <c r="K86" s="80"/>
      <c r="L86" s="45"/>
    </row>
    <row r="87" spans="3:12" ht="13.5" x14ac:dyDescent="0.25">
      <c r="C87" s="97" t="s">
        <v>37</v>
      </c>
      <c r="D87" s="98" t="s">
        <v>812</v>
      </c>
      <c r="E87" s="98">
        <v>300000</v>
      </c>
      <c r="F87" s="98" t="s">
        <v>27</v>
      </c>
      <c r="G87" s="100">
        <v>0</v>
      </c>
      <c r="H87" s="101">
        <f t="shared" ref="H87:H91" si="14">E87*G87</f>
        <v>0</v>
      </c>
      <c r="I87" s="102">
        <f t="shared" ref="I87:I92" si="15">IF($I$4=0, 0, H87/$I$4)</f>
        <v>0</v>
      </c>
      <c r="K87" s="12"/>
      <c r="L87" s="13"/>
    </row>
    <row r="88" spans="3:12" ht="13.5" x14ac:dyDescent="0.25">
      <c r="C88" s="97" t="s">
        <v>226</v>
      </c>
      <c r="D88" s="98" t="s">
        <v>227</v>
      </c>
      <c r="E88" s="98">
        <v>1</v>
      </c>
      <c r="F88" s="98" t="s">
        <v>72</v>
      </c>
      <c r="G88" s="100">
        <v>0</v>
      </c>
      <c r="H88" s="101">
        <f t="shared" si="14"/>
        <v>0</v>
      </c>
      <c r="I88" s="102">
        <f t="shared" si="15"/>
        <v>0</v>
      </c>
      <c r="K88" s="12"/>
      <c r="L88" s="13"/>
    </row>
    <row r="89" spans="3:12" ht="13.5" x14ac:dyDescent="0.25">
      <c r="C89" s="97" t="s">
        <v>228</v>
      </c>
      <c r="D89" s="98" t="s">
        <v>229</v>
      </c>
      <c r="E89" s="98">
        <v>1</v>
      </c>
      <c r="F89" s="98" t="s">
        <v>72</v>
      </c>
      <c r="G89" s="100">
        <v>0</v>
      </c>
      <c r="H89" s="101">
        <f t="shared" si="14"/>
        <v>0</v>
      </c>
      <c r="I89" s="102">
        <f t="shared" si="15"/>
        <v>0</v>
      </c>
      <c r="K89" s="12"/>
      <c r="L89" s="13"/>
    </row>
    <row r="90" spans="3:12" ht="13.5" x14ac:dyDescent="0.25">
      <c r="C90" s="97" t="s">
        <v>230</v>
      </c>
      <c r="D90" s="98" t="s">
        <v>231</v>
      </c>
      <c r="E90" s="98">
        <v>1</v>
      </c>
      <c r="F90" s="98" t="s">
        <v>72</v>
      </c>
      <c r="G90" s="100">
        <v>0</v>
      </c>
      <c r="H90" s="101">
        <f t="shared" si="14"/>
        <v>0</v>
      </c>
      <c r="I90" s="102">
        <f t="shared" si="15"/>
        <v>0</v>
      </c>
      <c r="K90" s="12"/>
      <c r="L90" s="13"/>
    </row>
    <row r="91" spans="3:12" ht="13.5" x14ac:dyDescent="0.25">
      <c r="C91" s="97" t="s">
        <v>232</v>
      </c>
      <c r="D91" s="98" t="s">
        <v>233</v>
      </c>
      <c r="E91" s="98">
        <v>0</v>
      </c>
      <c r="F91" s="98" t="s">
        <v>72</v>
      </c>
      <c r="G91" s="100">
        <v>0</v>
      </c>
      <c r="H91" s="101">
        <f t="shared" si="14"/>
        <v>0</v>
      </c>
      <c r="I91" s="102">
        <f t="shared" si="15"/>
        <v>0</v>
      </c>
      <c r="K91" s="12"/>
      <c r="L91" s="13"/>
    </row>
    <row r="92" spans="3:12" ht="16" x14ac:dyDescent="0.35">
      <c r="C92" s="68"/>
      <c r="D92" s="29"/>
      <c r="E92" s="29"/>
      <c r="F92" s="29"/>
      <c r="G92" s="53" t="s">
        <v>813</v>
      </c>
      <c r="H92" s="54">
        <f>SUM(H87:H91)</f>
        <v>0</v>
      </c>
      <c r="I92" s="56">
        <f t="shared" si="15"/>
        <v>0</v>
      </c>
      <c r="K92" s="87"/>
      <c r="L92" s="56"/>
    </row>
    <row r="93" spans="3:12" ht="13.5" x14ac:dyDescent="0.25">
      <c r="C93" s="97" t="s">
        <v>234</v>
      </c>
      <c r="D93" s="98" t="s">
        <v>814</v>
      </c>
      <c r="E93" s="98">
        <v>100</v>
      </c>
      <c r="F93" s="98" t="s">
        <v>25</v>
      </c>
      <c r="G93" s="100">
        <v>0</v>
      </c>
      <c r="H93" s="101">
        <f t="shared" ref="H93:H98" si="16">E93*G93</f>
        <v>0</v>
      </c>
      <c r="I93" s="102">
        <f t="shared" ref="I93:I99" si="17">IF($I$4=0, 0, H93/$I$4)</f>
        <v>0</v>
      </c>
      <c r="K93" s="12"/>
      <c r="L93" s="13"/>
    </row>
    <row r="94" spans="3:12" ht="13.5" x14ac:dyDescent="0.25">
      <c r="C94" s="97" t="s">
        <v>236</v>
      </c>
      <c r="D94" s="98" t="s">
        <v>237</v>
      </c>
      <c r="E94" s="98">
        <v>100</v>
      </c>
      <c r="F94" s="98" t="s">
        <v>25</v>
      </c>
      <c r="G94" s="100">
        <v>0</v>
      </c>
      <c r="H94" s="101">
        <f t="shared" si="16"/>
        <v>0</v>
      </c>
      <c r="I94" s="102">
        <f t="shared" si="17"/>
        <v>0</v>
      </c>
      <c r="K94" s="12"/>
      <c r="L94" s="13"/>
    </row>
    <row r="95" spans="3:12" ht="13.5" x14ac:dyDescent="0.25">
      <c r="C95" s="97" t="s">
        <v>238</v>
      </c>
      <c r="D95" s="98" t="s">
        <v>815</v>
      </c>
      <c r="E95" s="98">
        <v>1</v>
      </c>
      <c r="F95" s="98" t="s">
        <v>72</v>
      </c>
      <c r="G95" s="100">
        <v>0</v>
      </c>
      <c r="H95" s="101">
        <f t="shared" si="16"/>
        <v>0</v>
      </c>
      <c r="I95" s="102">
        <f t="shared" si="17"/>
        <v>0</v>
      </c>
      <c r="K95" s="12"/>
      <c r="L95" s="13"/>
    </row>
    <row r="96" spans="3:12" ht="13.5" x14ac:dyDescent="0.25">
      <c r="C96" s="97" t="s">
        <v>239</v>
      </c>
      <c r="D96" s="98" t="s">
        <v>240</v>
      </c>
      <c r="E96" s="98">
        <v>0</v>
      </c>
      <c r="F96" s="98" t="s">
        <v>72</v>
      </c>
      <c r="G96" s="100">
        <v>0</v>
      </c>
      <c r="H96" s="101">
        <f t="shared" si="16"/>
        <v>0</v>
      </c>
      <c r="I96" s="102">
        <f t="shared" si="17"/>
        <v>0</v>
      </c>
      <c r="K96" s="12"/>
      <c r="L96" s="13"/>
    </row>
    <row r="97" spans="3:12" ht="13.5" x14ac:dyDescent="0.25">
      <c r="C97" s="97" t="s">
        <v>241</v>
      </c>
      <c r="D97" s="98" t="s">
        <v>242</v>
      </c>
      <c r="E97" s="98">
        <v>1</v>
      </c>
      <c r="F97" s="98" t="s">
        <v>72</v>
      </c>
      <c r="G97" s="100">
        <v>0</v>
      </c>
      <c r="H97" s="101">
        <f t="shared" si="16"/>
        <v>0</v>
      </c>
      <c r="I97" s="102">
        <f t="shared" si="17"/>
        <v>0</v>
      </c>
      <c r="K97" s="12"/>
      <c r="L97" s="13"/>
    </row>
    <row r="98" spans="3:12" ht="13.5" x14ac:dyDescent="0.25">
      <c r="C98" s="97" t="s">
        <v>243</v>
      </c>
      <c r="D98" s="98" t="s">
        <v>816</v>
      </c>
      <c r="E98" s="98">
        <v>0</v>
      </c>
      <c r="F98" s="98" t="s">
        <v>72</v>
      </c>
      <c r="G98" s="100">
        <v>0</v>
      </c>
      <c r="H98" s="101">
        <f t="shared" si="16"/>
        <v>0</v>
      </c>
      <c r="I98" s="102">
        <f t="shared" si="17"/>
        <v>0</v>
      </c>
      <c r="K98" s="12"/>
      <c r="L98" s="13"/>
    </row>
    <row r="99" spans="3:12" ht="16" x14ac:dyDescent="0.35">
      <c r="C99" s="67"/>
      <c r="D99" s="33"/>
      <c r="E99" s="33"/>
      <c r="F99" s="33"/>
      <c r="G99" s="53" t="s">
        <v>817</v>
      </c>
      <c r="H99" s="54">
        <f>SUM(H93:H98)</f>
        <v>0</v>
      </c>
      <c r="I99" s="56">
        <f t="shared" si="17"/>
        <v>0</v>
      </c>
      <c r="K99" s="87"/>
      <c r="L99" s="56"/>
    </row>
    <row r="100" spans="3:12" ht="13.5" x14ac:dyDescent="0.25">
      <c r="C100" s="97" t="s">
        <v>245</v>
      </c>
      <c r="D100" s="98" t="s">
        <v>246</v>
      </c>
      <c r="E100" s="98">
        <v>1</v>
      </c>
      <c r="F100" s="98" t="s">
        <v>25</v>
      </c>
      <c r="G100" s="100">
        <v>0</v>
      </c>
      <c r="H100" s="101">
        <f t="shared" ref="H100:H101" si="18">E100*G100</f>
        <v>0</v>
      </c>
      <c r="I100" s="102">
        <f t="shared" ref="I100:I103" si="19">IF($I$4=0, 0, H100/$I$4)</f>
        <v>0</v>
      </c>
      <c r="K100" s="12"/>
      <c r="L100" s="13"/>
    </row>
    <row r="101" spans="3:12" ht="13.5" x14ac:dyDescent="0.25">
      <c r="C101" s="97" t="s">
        <v>247</v>
      </c>
      <c r="D101" s="98" t="s">
        <v>248</v>
      </c>
      <c r="E101" s="98">
        <v>1</v>
      </c>
      <c r="F101" s="98" t="s">
        <v>72</v>
      </c>
      <c r="G101" s="100">
        <v>0</v>
      </c>
      <c r="H101" s="101">
        <f t="shared" si="18"/>
        <v>0</v>
      </c>
      <c r="I101" s="102">
        <f t="shared" si="19"/>
        <v>0</v>
      </c>
      <c r="K101" s="12"/>
      <c r="L101" s="13"/>
    </row>
    <row r="102" spans="3:12" ht="16" x14ac:dyDescent="0.35">
      <c r="C102" s="68"/>
      <c r="D102" s="29"/>
      <c r="E102" s="29"/>
      <c r="F102" s="29"/>
      <c r="G102" s="53" t="s">
        <v>818</v>
      </c>
      <c r="H102" s="54">
        <f>SUM(H100:H101)</f>
        <v>0</v>
      </c>
      <c r="I102" s="56">
        <f t="shared" si="19"/>
        <v>0</v>
      </c>
      <c r="K102" s="87"/>
      <c r="L102" s="56"/>
    </row>
    <row r="103" spans="3:12" ht="18" thickBot="1" x14ac:dyDescent="0.4">
      <c r="C103" s="66"/>
      <c r="D103" s="50"/>
      <c r="E103" s="50"/>
      <c r="F103" s="31"/>
      <c r="G103" s="50" t="s">
        <v>948</v>
      </c>
      <c r="H103" s="95">
        <f>SUM(H92,H99,H102)</f>
        <v>0</v>
      </c>
      <c r="I103" s="95">
        <f t="shared" si="19"/>
        <v>0</v>
      </c>
      <c r="K103" s="73"/>
      <c r="L103" s="74"/>
    </row>
    <row r="104" spans="3:12" ht="17.5" x14ac:dyDescent="0.35">
      <c r="C104" s="64" t="s">
        <v>820</v>
      </c>
      <c r="D104" s="43"/>
      <c r="E104" s="43"/>
      <c r="F104" s="43"/>
      <c r="G104" s="43"/>
      <c r="H104" s="44"/>
      <c r="I104" s="45"/>
      <c r="K104" s="80"/>
      <c r="L104" s="45"/>
    </row>
    <row r="105" spans="3:12" ht="13.5" x14ac:dyDescent="0.25">
      <c r="C105" s="97" t="s">
        <v>38</v>
      </c>
      <c r="D105" s="98" t="s">
        <v>39</v>
      </c>
      <c r="E105" s="98">
        <v>18000</v>
      </c>
      <c r="F105" s="98" t="s">
        <v>27</v>
      </c>
      <c r="G105" s="100">
        <v>0</v>
      </c>
      <c r="H105" s="101">
        <f t="shared" ref="H105:H112" si="20">E105*G105</f>
        <v>0</v>
      </c>
      <c r="I105" s="102">
        <f t="shared" ref="I105:I113" si="21">IF($I$4=0, 0, H105/$I$4)</f>
        <v>0</v>
      </c>
      <c r="K105" s="12"/>
      <c r="L105" s="13"/>
    </row>
    <row r="106" spans="3:12" ht="13.5" x14ac:dyDescent="0.25">
      <c r="C106" s="97" t="s">
        <v>38</v>
      </c>
      <c r="D106" s="98" t="s">
        <v>249</v>
      </c>
      <c r="E106" s="98">
        <v>2</v>
      </c>
      <c r="F106" s="98" t="s">
        <v>72</v>
      </c>
      <c r="G106" s="100">
        <v>0</v>
      </c>
      <c r="H106" s="101">
        <f t="shared" si="20"/>
        <v>0</v>
      </c>
      <c r="I106" s="102">
        <f t="shared" si="21"/>
        <v>0</v>
      </c>
      <c r="K106" s="12"/>
      <c r="L106" s="13"/>
    </row>
    <row r="107" spans="3:12" ht="13.5" x14ac:dyDescent="0.25">
      <c r="C107" s="97" t="s">
        <v>40</v>
      </c>
      <c r="D107" s="98" t="s">
        <v>41</v>
      </c>
      <c r="E107" s="98">
        <v>15000</v>
      </c>
      <c r="F107" s="98" t="s">
        <v>27</v>
      </c>
      <c r="G107" s="100">
        <v>0</v>
      </c>
      <c r="H107" s="101">
        <f t="shared" si="20"/>
        <v>0</v>
      </c>
      <c r="I107" s="102">
        <f t="shared" si="21"/>
        <v>0</v>
      </c>
      <c r="K107" s="12"/>
      <c r="L107" s="13"/>
    </row>
    <row r="108" spans="3:12" ht="13.5" x14ac:dyDescent="0.25">
      <c r="C108" s="97" t="s">
        <v>40</v>
      </c>
      <c r="D108" s="98" t="s">
        <v>821</v>
      </c>
      <c r="E108" s="98">
        <v>15000</v>
      </c>
      <c r="F108" s="98" t="s">
        <v>27</v>
      </c>
      <c r="G108" s="100">
        <v>0</v>
      </c>
      <c r="H108" s="101">
        <f t="shared" si="20"/>
        <v>0</v>
      </c>
      <c r="I108" s="102">
        <f t="shared" si="21"/>
        <v>0</v>
      </c>
      <c r="K108" s="12"/>
      <c r="L108" s="13"/>
    </row>
    <row r="109" spans="3:12" ht="13.5" x14ac:dyDescent="0.25">
      <c r="C109" s="97" t="s">
        <v>40</v>
      </c>
      <c r="D109" s="98" t="s">
        <v>250</v>
      </c>
      <c r="E109" s="98">
        <v>160</v>
      </c>
      <c r="F109" s="98" t="s">
        <v>27</v>
      </c>
      <c r="G109" s="100">
        <v>0</v>
      </c>
      <c r="H109" s="101">
        <f t="shared" si="20"/>
        <v>0</v>
      </c>
      <c r="I109" s="102">
        <f t="shared" si="21"/>
        <v>0</v>
      </c>
      <c r="K109" s="12"/>
      <c r="L109" s="13"/>
    </row>
    <row r="110" spans="3:12" ht="13.5" x14ac:dyDescent="0.25">
      <c r="C110" s="97" t="s">
        <v>40</v>
      </c>
      <c r="D110" s="98" t="s">
        <v>251</v>
      </c>
      <c r="E110" s="98">
        <v>511</v>
      </c>
      <c r="F110" s="98" t="s">
        <v>27</v>
      </c>
      <c r="G110" s="100">
        <v>0</v>
      </c>
      <c r="H110" s="101">
        <f t="shared" si="20"/>
        <v>0</v>
      </c>
      <c r="I110" s="102">
        <f t="shared" si="21"/>
        <v>0</v>
      </c>
      <c r="K110" s="12"/>
      <c r="L110" s="13"/>
    </row>
    <row r="111" spans="3:12" ht="13.5" x14ac:dyDescent="0.25">
      <c r="C111" s="97" t="s">
        <v>40</v>
      </c>
      <c r="D111" s="98" t="s">
        <v>822</v>
      </c>
      <c r="E111" s="98">
        <v>798</v>
      </c>
      <c r="F111" s="98" t="s">
        <v>27</v>
      </c>
      <c r="G111" s="100">
        <v>0</v>
      </c>
      <c r="H111" s="101">
        <f t="shared" si="20"/>
        <v>0</v>
      </c>
      <c r="I111" s="102">
        <f t="shared" si="21"/>
        <v>0</v>
      </c>
      <c r="K111" s="12"/>
      <c r="L111" s="13"/>
    </row>
    <row r="112" spans="3:12" ht="13.5" x14ac:dyDescent="0.25">
      <c r="C112" s="97" t="s">
        <v>252</v>
      </c>
      <c r="D112" s="98" t="s">
        <v>253</v>
      </c>
      <c r="E112" s="98">
        <v>1000</v>
      </c>
      <c r="F112" s="98" t="s">
        <v>27</v>
      </c>
      <c r="G112" s="100">
        <v>0</v>
      </c>
      <c r="H112" s="101">
        <f t="shared" si="20"/>
        <v>0</v>
      </c>
      <c r="I112" s="102">
        <f t="shared" si="21"/>
        <v>0</v>
      </c>
      <c r="K112" s="12"/>
      <c r="L112" s="13"/>
    </row>
    <row r="113" spans="3:12" ht="16" x14ac:dyDescent="0.35">
      <c r="C113" s="67"/>
      <c r="D113" s="33"/>
      <c r="E113" s="33"/>
      <c r="F113" s="33"/>
      <c r="G113" s="53" t="s">
        <v>823</v>
      </c>
      <c r="H113" s="54">
        <f>SUM(H105:H112)</f>
        <v>0</v>
      </c>
      <c r="I113" s="56">
        <f t="shared" si="21"/>
        <v>0</v>
      </c>
      <c r="K113" s="87"/>
      <c r="L113" s="56"/>
    </row>
    <row r="114" spans="3:12" ht="13.5" x14ac:dyDescent="0.25">
      <c r="C114" s="97" t="s">
        <v>254</v>
      </c>
      <c r="D114" s="98" t="s">
        <v>255</v>
      </c>
      <c r="E114" s="98">
        <v>100</v>
      </c>
      <c r="F114" s="98" t="s">
        <v>25</v>
      </c>
      <c r="G114" s="100">
        <v>0</v>
      </c>
      <c r="H114" s="101">
        <f t="shared" ref="H114:H117" si="22">E114*G114</f>
        <v>0</v>
      </c>
      <c r="I114" s="102">
        <f t="shared" ref="I114:I118" si="23">IF($I$4=0, 0, H114/$I$4)</f>
        <v>0</v>
      </c>
      <c r="K114" s="12"/>
      <c r="L114" s="13"/>
    </row>
    <row r="115" spans="3:12" ht="13.5" x14ac:dyDescent="0.25">
      <c r="C115" s="97" t="s">
        <v>46</v>
      </c>
      <c r="D115" s="98" t="s">
        <v>256</v>
      </c>
      <c r="E115" s="98">
        <v>0</v>
      </c>
      <c r="F115" s="98" t="s">
        <v>27</v>
      </c>
      <c r="G115" s="100">
        <v>0</v>
      </c>
      <c r="H115" s="101">
        <f t="shared" si="22"/>
        <v>0</v>
      </c>
      <c r="I115" s="102">
        <f t="shared" si="23"/>
        <v>0</v>
      </c>
      <c r="K115" s="12"/>
      <c r="L115" s="13"/>
    </row>
    <row r="116" spans="3:12" ht="13.5" x14ac:dyDescent="0.25">
      <c r="C116" s="97" t="s">
        <v>42</v>
      </c>
      <c r="D116" s="98" t="s">
        <v>43</v>
      </c>
      <c r="E116" s="98">
        <v>75000</v>
      </c>
      <c r="F116" s="98" t="s">
        <v>27</v>
      </c>
      <c r="G116" s="100">
        <v>0</v>
      </c>
      <c r="H116" s="101">
        <f t="shared" si="22"/>
        <v>0</v>
      </c>
      <c r="I116" s="102">
        <f t="shared" si="23"/>
        <v>0</v>
      </c>
      <c r="K116" s="12"/>
      <c r="L116" s="13"/>
    </row>
    <row r="117" spans="3:12" ht="13.5" x14ac:dyDescent="0.25">
      <c r="C117" s="97" t="s">
        <v>257</v>
      </c>
      <c r="D117" s="98" t="s">
        <v>258</v>
      </c>
      <c r="E117" s="98">
        <v>1</v>
      </c>
      <c r="F117" s="98" t="s">
        <v>72</v>
      </c>
      <c r="G117" s="100">
        <v>0</v>
      </c>
      <c r="H117" s="101">
        <f t="shared" si="22"/>
        <v>0</v>
      </c>
      <c r="I117" s="102">
        <f t="shared" si="23"/>
        <v>0</v>
      </c>
      <c r="K117" s="12"/>
      <c r="L117" s="13"/>
    </row>
    <row r="118" spans="3:12" ht="16" x14ac:dyDescent="0.35">
      <c r="C118" s="67"/>
      <c r="D118" s="33"/>
      <c r="E118" s="33"/>
      <c r="F118" s="33"/>
      <c r="G118" s="53" t="s">
        <v>824</v>
      </c>
      <c r="H118" s="54">
        <f>SUM(H114:H117)</f>
        <v>0</v>
      </c>
      <c r="I118" s="56">
        <f t="shared" si="23"/>
        <v>0</v>
      </c>
      <c r="K118" s="87"/>
      <c r="L118" s="56"/>
    </row>
    <row r="119" spans="3:12" ht="13.5" x14ac:dyDescent="0.25">
      <c r="C119" s="97" t="s">
        <v>48</v>
      </c>
      <c r="D119" s="98" t="s">
        <v>49</v>
      </c>
      <c r="E119" s="98">
        <v>0</v>
      </c>
      <c r="F119" s="98" t="s">
        <v>72</v>
      </c>
      <c r="G119" s="100">
        <v>0</v>
      </c>
      <c r="H119" s="101">
        <f t="shared" ref="H119:H120" si="24">E119*G119</f>
        <v>0</v>
      </c>
      <c r="I119" s="102">
        <f t="shared" ref="I119:I121" si="25">IF($I$4=0, 0, H119/$I$4)</f>
        <v>0</v>
      </c>
      <c r="K119" s="12"/>
      <c r="L119" s="13"/>
    </row>
    <row r="120" spans="3:12" ht="13.5" x14ac:dyDescent="0.25">
      <c r="C120" s="97" t="s">
        <v>48</v>
      </c>
      <c r="D120" s="98" t="s">
        <v>259</v>
      </c>
      <c r="E120" s="98">
        <v>0</v>
      </c>
      <c r="F120" s="98" t="s">
        <v>72</v>
      </c>
      <c r="G120" s="100">
        <v>0</v>
      </c>
      <c r="H120" s="101">
        <f t="shared" si="24"/>
        <v>0</v>
      </c>
      <c r="I120" s="102">
        <f t="shared" si="25"/>
        <v>0</v>
      </c>
      <c r="K120" s="12"/>
      <c r="L120" s="13"/>
    </row>
    <row r="121" spans="3:12" ht="16" x14ac:dyDescent="0.35">
      <c r="C121" s="67"/>
      <c r="D121" s="33"/>
      <c r="E121" s="33"/>
      <c r="F121" s="33"/>
      <c r="G121" s="53" t="s">
        <v>825</v>
      </c>
      <c r="H121" s="54">
        <f>SUM(H119:H120)</f>
        <v>0</v>
      </c>
      <c r="I121" s="56">
        <f t="shared" si="25"/>
        <v>0</v>
      </c>
      <c r="K121" s="87"/>
      <c r="L121" s="56"/>
    </row>
    <row r="122" spans="3:12" ht="13.5" x14ac:dyDescent="0.25">
      <c r="C122" s="97" t="s">
        <v>50</v>
      </c>
      <c r="D122" s="98" t="s">
        <v>51</v>
      </c>
      <c r="E122" s="98">
        <v>0</v>
      </c>
      <c r="F122" s="98" t="s">
        <v>27</v>
      </c>
      <c r="G122" s="100">
        <v>0</v>
      </c>
      <c r="H122" s="101">
        <f t="shared" ref="H122:H123" si="26">E122*G122</f>
        <v>0</v>
      </c>
      <c r="I122" s="102">
        <f t="shared" ref="I122:I124" si="27">IF($I$4=0, 0, H122/$I$4)</f>
        <v>0</v>
      </c>
      <c r="K122" s="12"/>
      <c r="L122" s="13"/>
    </row>
    <row r="123" spans="3:12" ht="13.5" x14ac:dyDescent="0.25">
      <c r="C123" s="97" t="s">
        <v>52</v>
      </c>
      <c r="D123" s="98" t="s">
        <v>53</v>
      </c>
      <c r="E123" s="98">
        <v>52920</v>
      </c>
      <c r="F123" s="98" t="s">
        <v>27</v>
      </c>
      <c r="G123" s="100">
        <v>0</v>
      </c>
      <c r="H123" s="101">
        <f t="shared" si="26"/>
        <v>0</v>
      </c>
      <c r="I123" s="102">
        <f t="shared" si="27"/>
        <v>0</v>
      </c>
      <c r="K123" s="12"/>
      <c r="L123" s="13"/>
    </row>
    <row r="124" spans="3:12" ht="16" x14ac:dyDescent="0.35">
      <c r="C124" s="67"/>
      <c r="D124" s="33"/>
      <c r="E124" s="33"/>
      <c r="F124" s="33"/>
      <c r="G124" s="53" t="s">
        <v>826</v>
      </c>
      <c r="H124" s="54">
        <f>SUM(H122:H123)</f>
        <v>0</v>
      </c>
      <c r="I124" s="56">
        <f t="shared" si="27"/>
        <v>0</v>
      </c>
      <c r="K124" s="87"/>
      <c r="L124" s="56"/>
    </row>
    <row r="125" spans="3:12" ht="13.5" x14ac:dyDescent="0.25">
      <c r="C125" s="97" t="s">
        <v>54</v>
      </c>
      <c r="D125" s="98" t="s">
        <v>55</v>
      </c>
      <c r="E125" s="98">
        <v>60000</v>
      </c>
      <c r="F125" s="98" t="s">
        <v>27</v>
      </c>
      <c r="G125" s="100">
        <v>0</v>
      </c>
      <c r="H125" s="101">
        <f t="shared" ref="H125:H127" si="28">E125*G125</f>
        <v>0</v>
      </c>
      <c r="I125" s="102">
        <f t="shared" ref="I125:I128" si="29">IF($I$4=0, 0, H125/$I$4)</f>
        <v>0</v>
      </c>
      <c r="K125" s="12"/>
      <c r="L125" s="13"/>
    </row>
    <row r="126" spans="3:12" ht="13.5" x14ac:dyDescent="0.25">
      <c r="C126" s="97" t="s">
        <v>261</v>
      </c>
      <c r="D126" s="98" t="s">
        <v>262</v>
      </c>
      <c r="E126" s="98">
        <v>1</v>
      </c>
      <c r="F126" s="98" t="s">
        <v>72</v>
      </c>
      <c r="G126" s="100">
        <v>0</v>
      </c>
      <c r="H126" s="101">
        <f t="shared" si="28"/>
        <v>0</v>
      </c>
      <c r="I126" s="102">
        <f t="shared" si="29"/>
        <v>0</v>
      </c>
      <c r="K126" s="12"/>
      <c r="L126" s="13"/>
    </row>
    <row r="127" spans="3:12" ht="13.5" x14ac:dyDescent="0.25">
      <c r="C127" s="97" t="s">
        <v>263</v>
      </c>
      <c r="D127" s="98" t="s">
        <v>264</v>
      </c>
      <c r="E127" s="98">
        <v>0</v>
      </c>
      <c r="F127" s="98" t="s">
        <v>27</v>
      </c>
      <c r="G127" s="100">
        <v>0</v>
      </c>
      <c r="H127" s="101">
        <f t="shared" si="28"/>
        <v>0</v>
      </c>
      <c r="I127" s="102">
        <f t="shared" si="29"/>
        <v>0</v>
      </c>
      <c r="K127" s="12"/>
      <c r="L127" s="13"/>
    </row>
    <row r="128" spans="3:12" ht="16" x14ac:dyDescent="0.35">
      <c r="C128" s="67"/>
      <c r="D128" s="33"/>
      <c r="E128" s="33"/>
      <c r="F128" s="33"/>
      <c r="G128" s="53" t="s">
        <v>827</v>
      </c>
      <c r="H128" s="54">
        <f>SUM(H125:H127)</f>
        <v>0</v>
      </c>
      <c r="I128" s="56">
        <f t="shared" si="29"/>
        <v>0</v>
      </c>
      <c r="K128" s="87"/>
      <c r="L128" s="56"/>
    </row>
    <row r="129" spans="3:12" ht="13.5" x14ac:dyDescent="0.25">
      <c r="C129" s="97" t="s">
        <v>265</v>
      </c>
      <c r="D129" s="98" t="s">
        <v>266</v>
      </c>
      <c r="E129" s="98">
        <v>1</v>
      </c>
      <c r="F129" s="98" t="s">
        <v>72</v>
      </c>
      <c r="G129" s="100">
        <v>0</v>
      </c>
      <c r="H129" s="101">
        <f t="shared" ref="H129:H132" si="30">E129*G129</f>
        <v>0</v>
      </c>
      <c r="I129" s="102">
        <f t="shared" ref="I129:I134" si="31">IF($I$4=0, 0, H129/$I$4)</f>
        <v>0</v>
      </c>
      <c r="K129" s="12"/>
      <c r="L129" s="13"/>
    </row>
    <row r="130" spans="3:12" ht="13.5" x14ac:dyDescent="0.25">
      <c r="C130" s="97" t="s">
        <v>267</v>
      </c>
      <c r="D130" s="98" t="s">
        <v>268</v>
      </c>
      <c r="E130" s="98">
        <v>0</v>
      </c>
      <c r="F130" s="98" t="s">
        <v>25</v>
      </c>
      <c r="G130" s="100">
        <v>0</v>
      </c>
      <c r="H130" s="101">
        <f t="shared" si="30"/>
        <v>0</v>
      </c>
      <c r="I130" s="102">
        <f t="shared" si="31"/>
        <v>0</v>
      </c>
      <c r="K130" s="12"/>
      <c r="L130" s="13"/>
    </row>
    <row r="131" spans="3:12" ht="13.5" x14ac:dyDescent="0.25">
      <c r="C131" s="97" t="s">
        <v>269</v>
      </c>
      <c r="D131" s="98" t="s">
        <v>270</v>
      </c>
      <c r="E131" s="98">
        <v>100</v>
      </c>
      <c r="F131" s="98" t="s">
        <v>25</v>
      </c>
      <c r="G131" s="100">
        <v>0</v>
      </c>
      <c r="H131" s="101">
        <f t="shared" si="30"/>
        <v>0</v>
      </c>
      <c r="I131" s="102">
        <f t="shared" si="31"/>
        <v>0</v>
      </c>
      <c r="K131" s="12"/>
      <c r="L131" s="13"/>
    </row>
    <row r="132" spans="3:12" ht="13.5" x14ac:dyDescent="0.25">
      <c r="C132" s="97" t="s">
        <v>271</v>
      </c>
      <c r="D132" s="98" t="s">
        <v>272</v>
      </c>
      <c r="E132" s="98">
        <v>0</v>
      </c>
      <c r="F132" s="98" t="s">
        <v>25</v>
      </c>
      <c r="G132" s="100">
        <v>0</v>
      </c>
      <c r="H132" s="101">
        <f t="shared" si="30"/>
        <v>0</v>
      </c>
      <c r="I132" s="102">
        <f t="shared" si="31"/>
        <v>0</v>
      </c>
      <c r="K132" s="12"/>
      <c r="L132" s="13"/>
    </row>
    <row r="133" spans="3:12" ht="16" x14ac:dyDescent="0.35">
      <c r="C133" s="68"/>
      <c r="D133" s="29"/>
      <c r="E133" s="29"/>
      <c r="F133" s="29"/>
      <c r="G133" s="53" t="s">
        <v>828</v>
      </c>
      <c r="H133" s="54">
        <f>SUM(H129:H132)</f>
        <v>0</v>
      </c>
      <c r="I133" s="56">
        <f t="shared" si="31"/>
        <v>0</v>
      </c>
      <c r="K133" s="82"/>
      <c r="L133" s="83"/>
    </row>
    <row r="134" spans="3:12" ht="18" thickBot="1" x14ac:dyDescent="0.4">
      <c r="C134" s="66"/>
      <c r="D134" s="50"/>
      <c r="E134" s="50"/>
      <c r="F134" s="31"/>
      <c r="G134" s="50" t="s">
        <v>949</v>
      </c>
      <c r="H134" s="95">
        <f>SUM(H113,H118,H121,H124,H128,H133)</f>
        <v>0</v>
      </c>
      <c r="I134" s="95">
        <f t="shared" si="31"/>
        <v>0</v>
      </c>
      <c r="K134" s="73"/>
      <c r="L134" s="74"/>
    </row>
    <row r="135" spans="3:12" ht="17.5" x14ac:dyDescent="0.35">
      <c r="C135" s="64" t="s">
        <v>830</v>
      </c>
      <c r="D135" s="43"/>
      <c r="E135" s="43"/>
      <c r="F135" s="43"/>
      <c r="G135" s="43"/>
      <c r="H135" s="44"/>
      <c r="I135" s="45"/>
      <c r="K135" s="80"/>
      <c r="L135" s="45"/>
    </row>
    <row r="136" spans="3:12" ht="13.5" x14ac:dyDescent="0.25">
      <c r="C136" s="97" t="s">
        <v>273</v>
      </c>
      <c r="D136" s="98" t="s">
        <v>831</v>
      </c>
      <c r="E136" s="98">
        <v>100</v>
      </c>
      <c r="F136" s="98" t="s">
        <v>25</v>
      </c>
      <c r="G136" s="100">
        <v>0</v>
      </c>
      <c r="H136" s="101">
        <f t="shared" ref="H136:H139" si="32">E136*G136</f>
        <v>0</v>
      </c>
      <c r="I136" s="102">
        <f t="shared" ref="I136:I140" si="33">IF($I$4=0, 0, H136/$I$4)</f>
        <v>0</v>
      </c>
      <c r="K136" s="12"/>
      <c r="L136" s="13"/>
    </row>
    <row r="137" spans="3:12" ht="13.5" x14ac:dyDescent="0.25">
      <c r="C137" s="97" t="s">
        <v>274</v>
      </c>
      <c r="D137" s="98" t="s">
        <v>832</v>
      </c>
      <c r="E137" s="98">
        <v>0</v>
      </c>
      <c r="F137" s="98" t="s">
        <v>72</v>
      </c>
      <c r="G137" s="100">
        <v>0</v>
      </c>
      <c r="H137" s="101">
        <f t="shared" si="32"/>
        <v>0</v>
      </c>
      <c r="I137" s="102">
        <f t="shared" si="33"/>
        <v>0</v>
      </c>
      <c r="K137" s="12"/>
      <c r="L137" s="13"/>
    </row>
    <row r="138" spans="3:12" ht="13.5" x14ac:dyDescent="0.25">
      <c r="C138" s="97" t="s">
        <v>276</v>
      </c>
      <c r="D138" s="98" t="s">
        <v>833</v>
      </c>
      <c r="E138" s="98">
        <v>100</v>
      </c>
      <c r="F138" s="98" t="s">
        <v>25</v>
      </c>
      <c r="G138" s="100">
        <v>0</v>
      </c>
      <c r="H138" s="101">
        <f t="shared" si="32"/>
        <v>0</v>
      </c>
      <c r="I138" s="102">
        <f t="shared" si="33"/>
        <v>0</v>
      </c>
      <c r="K138" s="12"/>
      <c r="L138" s="13"/>
    </row>
    <row r="139" spans="3:12" ht="13.5" x14ac:dyDescent="0.25">
      <c r="C139" s="97" t="s">
        <v>278</v>
      </c>
      <c r="D139" s="98" t="s">
        <v>834</v>
      </c>
      <c r="E139" s="98">
        <v>1</v>
      </c>
      <c r="F139" s="98" t="s">
        <v>72</v>
      </c>
      <c r="G139" s="100">
        <v>0</v>
      </c>
      <c r="H139" s="101">
        <f t="shared" si="32"/>
        <v>0</v>
      </c>
      <c r="I139" s="102">
        <f t="shared" si="33"/>
        <v>0</v>
      </c>
      <c r="K139" s="12"/>
      <c r="L139" s="13"/>
    </row>
    <row r="140" spans="3:12" ht="16" x14ac:dyDescent="0.35">
      <c r="C140" s="67"/>
      <c r="D140" s="33"/>
      <c r="E140" s="33"/>
      <c r="F140" s="33"/>
      <c r="G140" s="53" t="s">
        <v>835</v>
      </c>
      <c r="H140" s="54">
        <f>SUM(H136:H139)</f>
        <v>0</v>
      </c>
      <c r="I140" s="56">
        <f t="shared" si="33"/>
        <v>0</v>
      </c>
      <c r="K140" s="87"/>
      <c r="L140" s="56"/>
    </row>
    <row r="141" spans="3:12" ht="13.5" x14ac:dyDescent="0.25">
      <c r="C141" s="97" t="s">
        <v>58</v>
      </c>
      <c r="D141" s="98" t="s">
        <v>836</v>
      </c>
      <c r="E141" s="98">
        <v>500</v>
      </c>
      <c r="F141" s="98" t="s">
        <v>27</v>
      </c>
      <c r="G141" s="100">
        <v>0</v>
      </c>
      <c r="H141" s="101">
        <f t="shared" ref="H141:H142" si="34">E141*G141</f>
        <v>0</v>
      </c>
      <c r="I141" s="102">
        <f t="shared" ref="I141:I143" si="35">IF($I$4=0, 0, H141/$I$4)</f>
        <v>0</v>
      </c>
      <c r="K141" s="12"/>
      <c r="L141" s="13"/>
    </row>
    <row r="142" spans="3:12" ht="13.5" x14ac:dyDescent="0.25">
      <c r="C142" s="97" t="s">
        <v>58</v>
      </c>
      <c r="D142" s="98" t="s">
        <v>281</v>
      </c>
      <c r="E142" s="98">
        <v>1</v>
      </c>
      <c r="F142" s="98" t="s">
        <v>25</v>
      </c>
      <c r="G142" s="100">
        <v>0</v>
      </c>
      <c r="H142" s="101">
        <f t="shared" si="34"/>
        <v>0</v>
      </c>
      <c r="I142" s="102">
        <f t="shared" si="35"/>
        <v>0</v>
      </c>
      <c r="K142" s="12"/>
      <c r="L142" s="13"/>
    </row>
    <row r="143" spans="3:12" ht="16" x14ac:dyDescent="0.35">
      <c r="C143" s="67"/>
      <c r="D143" s="33"/>
      <c r="E143" s="33"/>
      <c r="F143" s="33"/>
      <c r="G143" s="53" t="s">
        <v>837</v>
      </c>
      <c r="H143" s="54">
        <f>SUM(H141:H142)</f>
        <v>0</v>
      </c>
      <c r="I143" s="56">
        <f t="shared" si="35"/>
        <v>0</v>
      </c>
      <c r="K143" s="87"/>
      <c r="L143" s="56"/>
    </row>
    <row r="144" spans="3:12" ht="13.5" x14ac:dyDescent="0.25">
      <c r="C144" s="97" t="s">
        <v>282</v>
      </c>
      <c r="D144" s="98" t="s">
        <v>283</v>
      </c>
      <c r="E144" s="98">
        <v>0</v>
      </c>
      <c r="F144" s="98" t="s">
        <v>72</v>
      </c>
      <c r="G144" s="100">
        <v>0</v>
      </c>
      <c r="H144" s="101">
        <f t="shared" ref="H144" si="36">E144*G144</f>
        <v>0</v>
      </c>
      <c r="I144" s="102">
        <f t="shared" ref="I144:I145" si="37">IF($I$4=0, 0, H144/$I$4)</f>
        <v>0</v>
      </c>
      <c r="K144" s="12"/>
      <c r="L144" s="13"/>
    </row>
    <row r="145" spans="3:12" ht="16" x14ac:dyDescent="0.35">
      <c r="C145" s="67"/>
      <c r="D145" s="33"/>
      <c r="E145" s="33"/>
      <c r="F145" s="33"/>
      <c r="G145" s="53" t="s">
        <v>838</v>
      </c>
      <c r="H145" s="54">
        <f>SUM(H144)</f>
        <v>0</v>
      </c>
      <c r="I145" s="56">
        <f t="shared" si="37"/>
        <v>0</v>
      </c>
      <c r="K145" s="87"/>
      <c r="L145" s="56"/>
    </row>
    <row r="146" spans="3:12" ht="13.5" x14ac:dyDescent="0.25">
      <c r="C146" s="97" t="s">
        <v>284</v>
      </c>
      <c r="D146" s="98" t="s">
        <v>839</v>
      </c>
      <c r="E146" s="98">
        <v>0</v>
      </c>
      <c r="F146" s="98" t="s">
        <v>25</v>
      </c>
      <c r="G146" s="100">
        <v>0</v>
      </c>
      <c r="H146" s="101">
        <f t="shared" ref="H146:H148" si="38">E146*G146</f>
        <v>0</v>
      </c>
      <c r="I146" s="102">
        <f t="shared" ref="I146:I149" si="39">IF($I$4=0, 0, H146/$I$4)</f>
        <v>0</v>
      </c>
      <c r="K146" s="12"/>
      <c r="L146" s="13"/>
    </row>
    <row r="147" spans="3:12" ht="13.5" x14ac:dyDescent="0.25">
      <c r="C147" s="97" t="s">
        <v>56</v>
      </c>
      <c r="D147" s="98" t="s">
        <v>840</v>
      </c>
      <c r="E147" s="98">
        <v>100</v>
      </c>
      <c r="F147" s="98" t="s">
        <v>25</v>
      </c>
      <c r="G147" s="100">
        <v>0</v>
      </c>
      <c r="H147" s="101">
        <f t="shared" si="38"/>
        <v>0</v>
      </c>
      <c r="I147" s="102">
        <f t="shared" si="39"/>
        <v>0</v>
      </c>
      <c r="K147" s="12"/>
      <c r="L147" s="13"/>
    </row>
    <row r="148" spans="3:12" ht="13.5" x14ac:dyDescent="0.25">
      <c r="C148" s="97" t="s">
        <v>56</v>
      </c>
      <c r="D148" s="98" t="s">
        <v>841</v>
      </c>
      <c r="E148" s="98">
        <v>1</v>
      </c>
      <c r="F148" s="98" t="s">
        <v>72</v>
      </c>
      <c r="G148" s="100">
        <v>0</v>
      </c>
      <c r="H148" s="101">
        <f t="shared" si="38"/>
        <v>0</v>
      </c>
      <c r="I148" s="102">
        <f t="shared" si="39"/>
        <v>0</v>
      </c>
      <c r="K148" s="12"/>
      <c r="L148" s="13"/>
    </row>
    <row r="149" spans="3:12" ht="16" x14ac:dyDescent="0.35">
      <c r="C149" s="67"/>
      <c r="D149" s="33"/>
      <c r="E149" s="33"/>
      <c r="F149" s="33"/>
      <c r="G149" s="53" t="s">
        <v>842</v>
      </c>
      <c r="H149" s="54">
        <f>SUM(H146:H148)</f>
        <v>0</v>
      </c>
      <c r="I149" s="56">
        <f t="shared" si="39"/>
        <v>0</v>
      </c>
      <c r="K149" s="87"/>
      <c r="L149" s="56"/>
    </row>
    <row r="150" spans="3:12" ht="13.5" x14ac:dyDescent="0.25">
      <c r="C150" s="97" t="s">
        <v>287</v>
      </c>
      <c r="D150" s="98" t="s">
        <v>288</v>
      </c>
      <c r="E150" s="98">
        <v>100</v>
      </c>
      <c r="F150" s="98" t="s">
        <v>25</v>
      </c>
      <c r="G150" s="100">
        <v>0</v>
      </c>
      <c r="H150" s="101">
        <f t="shared" ref="H150:H151" si="40">E150*G150</f>
        <v>0</v>
      </c>
      <c r="I150" s="102">
        <f t="shared" ref="I150:I152" si="41">IF($I$4=0, 0, H150/$I$4)</f>
        <v>0</v>
      </c>
      <c r="K150" s="12"/>
      <c r="L150" s="13"/>
    </row>
    <row r="151" spans="3:12" ht="13.5" x14ac:dyDescent="0.25">
      <c r="C151" s="97" t="s">
        <v>289</v>
      </c>
      <c r="D151" s="98" t="s">
        <v>290</v>
      </c>
      <c r="E151" s="98">
        <v>100</v>
      </c>
      <c r="F151" s="98" t="s">
        <v>72</v>
      </c>
      <c r="G151" s="100">
        <v>0</v>
      </c>
      <c r="H151" s="101">
        <f t="shared" si="40"/>
        <v>0</v>
      </c>
      <c r="I151" s="102">
        <f t="shared" si="41"/>
        <v>0</v>
      </c>
      <c r="K151" s="12"/>
      <c r="L151" s="13"/>
    </row>
    <row r="152" spans="3:12" ht="16" x14ac:dyDescent="0.35">
      <c r="C152" s="68"/>
      <c r="D152" s="29"/>
      <c r="E152" s="29"/>
      <c r="F152" s="29"/>
      <c r="G152" s="53" t="s">
        <v>843</v>
      </c>
      <c r="H152" s="54">
        <f>SUM(H150:H151)</f>
        <v>0</v>
      </c>
      <c r="I152" s="56">
        <f t="shared" si="41"/>
        <v>0</v>
      </c>
      <c r="K152" s="82"/>
      <c r="L152" s="83"/>
    </row>
    <row r="153" spans="3:12" ht="18" thickBot="1" x14ac:dyDescent="0.4">
      <c r="C153" s="66"/>
      <c r="D153" s="50"/>
      <c r="E153" s="50"/>
      <c r="F153" s="31"/>
      <c r="G153" s="50" t="s">
        <v>950</v>
      </c>
      <c r="H153" s="95">
        <f>SUM(H140,H143,H145,H149,H152)</f>
        <v>0</v>
      </c>
      <c r="I153" s="95">
        <f t="shared" ref="I153" si="42">IF($I$4=0, 0, H153/$I$4)</f>
        <v>0</v>
      </c>
      <c r="K153" s="73"/>
      <c r="L153" s="74"/>
    </row>
    <row r="154" spans="3:12" ht="17.5" x14ac:dyDescent="0.35">
      <c r="C154" s="64" t="s">
        <v>845</v>
      </c>
      <c r="D154" s="43"/>
      <c r="E154" s="43"/>
      <c r="F154" s="43"/>
      <c r="G154" s="43"/>
      <c r="H154" s="44"/>
      <c r="I154" s="45"/>
      <c r="K154" s="80"/>
      <c r="L154" s="45"/>
    </row>
    <row r="155" spans="3:12" ht="13.5" x14ac:dyDescent="0.25">
      <c r="C155" s="97" t="s">
        <v>293</v>
      </c>
      <c r="D155" s="98" t="s">
        <v>846</v>
      </c>
      <c r="E155" s="98">
        <v>100</v>
      </c>
      <c r="F155" s="98" t="s">
        <v>25</v>
      </c>
      <c r="G155" s="100">
        <v>0</v>
      </c>
      <c r="H155" s="101">
        <f t="shared" ref="H155:H156" si="43">E155*G155</f>
        <v>0</v>
      </c>
      <c r="I155" s="102">
        <f t="shared" ref="I155:I157" si="44">IF($I$4=0, 0, H155/$I$4)</f>
        <v>0</v>
      </c>
      <c r="K155" s="12"/>
      <c r="L155" s="13"/>
    </row>
    <row r="156" spans="3:12" ht="13.5" x14ac:dyDescent="0.25">
      <c r="C156" s="97" t="s">
        <v>295</v>
      </c>
      <c r="D156" s="98" t="s">
        <v>296</v>
      </c>
      <c r="E156" s="98">
        <v>0</v>
      </c>
      <c r="F156" s="98" t="s">
        <v>72</v>
      </c>
      <c r="G156" s="100">
        <v>0</v>
      </c>
      <c r="H156" s="101">
        <f t="shared" si="43"/>
        <v>0</v>
      </c>
      <c r="I156" s="102">
        <f t="shared" si="44"/>
        <v>0</v>
      </c>
      <c r="K156" s="12"/>
      <c r="L156" s="13"/>
    </row>
    <row r="157" spans="3:12" ht="16" x14ac:dyDescent="0.35">
      <c r="C157" s="67"/>
      <c r="D157" s="33"/>
      <c r="E157" s="33"/>
      <c r="F157" s="33"/>
      <c r="G157" s="53" t="s">
        <v>847</v>
      </c>
      <c r="H157" s="54">
        <f>SUM(H155:H156)</f>
        <v>0</v>
      </c>
      <c r="I157" s="56">
        <f t="shared" si="44"/>
        <v>0</v>
      </c>
      <c r="K157" s="87"/>
      <c r="L157" s="56"/>
    </row>
    <row r="158" spans="3:12" ht="13.5" x14ac:dyDescent="0.25">
      <c r="C158" s="97" t="s">
        <v>297</v>
      </c>
      <c r="D158" s="98" t="s">
        <v>298</v>
      </c>
      <c r="E158" s="98">
        <v>100</v>
      </c>
      <c r="F158" s="98" t="s">
        <v>25</v>
      </c>
      <c r="G158" s="100">
        <v>0</v>
      </c>
      <c r="H158" s="101">
        <f t="shared" ref="H158" si="45">E158*G158</f>
        <v>0</v>
      </c>
      <c r="I158" s="102">
        <f t="shared" ref="I158:I159" si="46">IF($I$4=0, 0, H158/$I$4)</f>
        <v>0</v>
      </c>
      <c r="K158" s="12"/>
      <c r="L158" s="13"/>
    </row>
    <row r="159" spans="3:12" ht="16" x14ac:dyDescent="0.35">
      <c r="C159" s="67"/>
      <c r="D159" s="33"/>
      <c r="E159" s="33"/>
      <c r="F159" s="33"/>
      <c r="G159" s="53" t="s">
        <v>848</v>
      </c>
      <c r="H159" s="54">
        <f>SUM(H158)</f>
        <v>0</v>
      </c>
      <c r="I159" s="56">
        <f t="shared" si="46"/>
        <v>0</v>
      </c>
      <c r="K159" s="87"/>
      <c r="L159" s="56"/>
    </row>
    <row r="160" spans="3:12" ht="13.5" x14ac:dyDescent="0.25">
      <c r="C160" s="97" t="s">
        <v>299</v>
      </c>
      <c r="D160" s="98" t="s">
        <v>300</v>
      </c>
      <c r="E160" s="98">
        <v>2000</v>
      </c>
      <c r="F160" s="98" t="s">
        <v>27</v>
      </c>
      <c r="G160" s="100">
        <v>0</v>
      </c>
      <c r="H160" s="101">
        <f t="shared" ref="H160" si="47">E160*G160</f>
        <v>0</v>
      </c>
      <c r="I160" s="102">
        <f t="shared" ref="I160:I161" si="48">IF($I$4=0, 0, H160/$I$4)</f>
        <v>0</v>
      </c>
      <c r="K160" s="12"/>
      <c r="L160" s="13"/>
    </row>
    <row r="161" spans="3:12" ht="16" x14ac:dyDescent="0.35">
      <c r="C161" s="67"/>
      <c r="D161" s="33"/>
      <c r="E161" s="33"/>
      <c r="F161" s="33"/>
      <c r="G161" s="53" t="s">
        <v>849</v>
      </c>
      <c r="H161" s="54">
        <f>SUM(H160:H160)</f>
        <v>0</v>
      </c>
      <c r="I161" s="56">
        <f t="shared" si="48"/>
        <v>0</v>
      </c>
      <c r="K161" s="87"/>
      <c r="L161" s="56"/>
    </row>
    <row r="162" spans="3:12" ht="13.5" x14ac:dyDescent="0.25">
      <c r="C162" s="97" t="s">
        <v>301</v>
      </c>
      <c r="D162" s="98" t="s">
        <v>302</v>
      </c>
      <c r="E162" s="98">
        <v>0</v>
      </c>
      <c r="F162" s="98" t="s">
        <v>72</v>
      </c>
      <c r="G162" s="100">
        <v>0</v>
      </c>
      <c r="H162" s="101">
        <f t="shared" ref="H162" si="49">E162*G162</f>
        <v>0</v>
      </c>
      <c r="I162" s="102">
        <f t="shared" ref="I162:I163" si="50">IF($I$4=0, 0, H162/$I$4)</f>
        <v>0</v>
      </c>
      <c r="K162" s="12"/>
      <c r="L162" s="13"/>
    </row>
    <row r="163" spans="3:12" ht="16" x14ac:dyDescent="0.35">
      <c r="C163" s="67"/>
      <c r="D163" s="33"/>
      <c r="E163" s="33"/>
      <c r="F163" s="33"/>
      <c r="G163" s="53" t="s">
        <v>850</v>
      </c>
      <c r="H163" s="54">
        <f>SUM(H162:H162)</f>
        <v>0</v>
      </c>
      <c r="I163" s="56">
        <f t="shared" si="50"/>
        <v>0</v>
      </c>
      <c r="K163" s="87"/>
      <c r="L163" s="56"/>
    </row>
    <row r="164" spans="3:12" ht="13.5" x14ac:dyDescent="0.25">
      <c r="C164" s="97" t="s">
        <v>303</v>
      </c>
      <c r="D164" s="98" t="s">
        <v>304</v>
      </c>
      <c r="E164" s="98">
        <v>100</v>
      </c>
      <c r="F164" s="98" t="s">
        <v>25</v>
      </c>
      <c r="G164" s="100">
        <v>0</v>
      </c>
      <c r="H164" s="101">
        <f t="shared" ref="H164" si="51">E164*G164</f>
        <v>0</v>
      </c>
      <c r="I164" s="102">
        <f t="shared" ref="I164:I165" si="52">IF($I$4=0, 0, H164/$I$4)</f>
        <v>0</v>
      </c>
      <c r="K164" s="12"/>
      <c r="L164" s="13"/>
    </row>
    <row r="165" spans="3:12" ht="16" x14ac:dyDescent="0.35">
      <c r="C165" s="67"/>
      <c r="D165" s="33"/>
      <c r="E165" s="33"/>
      <c r="F165" s="33"/>
      <c r="G165" s="53" t="s">
        <v>851</v>
      </c>
      <c r="H165" s="54">
        <f>SUM(H164)</f>
        <v>0</v>
      </c>
      <c r="I165" s="56">
        <f t="shared" si="52"/>
        <v>0</v>
      </c>
      <c r="K165" s="87"/>
      <c r="L165" s="56"/>
    </row>
    <row r="166" spans="3:12" ht="13.5" x14ac:dyDescent="0.25">
      <c r="C166" s="97" t="s">
        <v>305</v>
      </c>
      <c r="D166" s="98" t="s">
        <v>306</v>
      </c>
      <c r="E166" s="98">
        <v>0</v>
      </c>
      <c r="F166" s="98" t="s">
        <v>27</v>
      </c>
      <c r="G166" s="100">
        <v>0</v>
      </c>
      <c r="H166" s="101">
        <f t="shared" ref="H166" si="53">E166*G166</f>
        <v>0</v>
      </c>
      <c r="I166" s="102">
        <f t="shared" ref="I166:I167" si="54">IF($I$4=0, 0, H166/$I$4)</f>
        <v>0</v>
      </c>
      <c r="K166" s="12"/>
      <c r="L166" s="13"/>
    </row>
    <row r="167" spans="3:12" ht="16" x14ac:dyDescent="0.35">
      <c r="C167" s="67"/>
      <c r="D167" s="33"/>
      <c r="E167" s="33"/>
      <c r="F167" s="33"/>
      <c r="G167" s="53" t="s">
        <v>852</v>
      </c>
      <c r="H167" s="54">
        <f>SUM(H166)</f>
        <v>0</v>
      </c>
      <c r="I167" s="56">
        <f t="shared" si="54"/>
        <v>0</v>
      </c>
      <c r="K167" s="87"/>
      <c r="L167" s="56"/>
    </row>
    <row r="168" spans="3:12" ht="13.5" x14ac:dyDescent="0.25">
      <c r="C168" s="97" t="s">
        <v>307</v>
      </c>
      <c r="D168" s="98" t="s">
        <v>308</v>
      </c>
      <c r="E168" s="98">
        <v>1</v>
      </c>
      <c r="F168" s="98" t="s">
        <v>72</v>
      </c>
      <c r="G168" s="100">
        <v>0</v>
      </c>
      <c r="H168" s="101">
        <f t="shared" ref="H168:H169" si="55">E168*G168</f>
        <v>0</v>
      </c>
      <c r="I168" s="102">
        <f t="shared" ref="I168:I170" si="56">IF($I$4=0, 0, H168/$I$4)</f>
        <v>0</v>
      </c>
      <c r="K168" s="12"/>
      <c r="L168" s="13"/>
    </row>
    <row r="169" spans="3:12" ht="13.5" x14ac:dyDescent="0.25">
      <c r="C169" s="97" t="s">
        <v>307</v>
      </c>
      <c r="D169" s="98" t="s">
        <v>853</v>
      </c>
      <c r="E169" s="98">
        <v>1</v>
      </c>
      <c r="F169" s="98" t="s">
        <v>72</v>
      </c>
      <c r="G169" s="100">
        <v>0</v>
      </c>
      <c r="H169" s="101">
        <f t="shared" si="55"/>
        <v>0</v>
      </c>
      <c r="I169" s="102">
        <f t="shared" si="56"/>
        <v>0</v>
      </c>
      <c r="K169" s="12"/>
      <c r="L169" s="13"/>
    </row>
    <row r="170" spans="3:12" ht="16" x14ac:dyDescent="0.35">
      <c r="C170" s="67"/>
      <c r="D170" s="33"/>
      <c r="E170" s="33"/>
      <c r="F170" s="33"/>
      <c r="G170" s="53" t="s">
        <v>854</v>
      </c>
      <c r="H170" s="54">
        <f>SUM(H168:H169)</f>
        <v>0</v>
      </c>
      <c r="I170" s="56">
        <f t="shared" si="56"/>
        <v>0</v>
      </c>
      <c r="K170" s="87"/>
      <c r="L170" s="56"/>
    </row>
    <row r="171" spans="3:12" ht="13.5" x14ac:dyDescent="0.25">
      <c r="C171" s="97" t="s">
        <v>310</v>
      </c>
      <c r="D171" s="98" t="s">
        <v>311</v>
      </c>
      <c r="E171" s="98">
        <v>1</v>
      </c>
      <c r="F171" s="98" t="s">
        <v>72</v>
      </c>
      <c r="G171" s="100">
        <v>0</v>
      </c>
      <c r="H171" s="101">
        <f t="shared" ref="H171" si="57">E171*G171</f>
        <v>0</v>
      </c>
      <c r="I171" s="102">
        <f t="shared" ref="I171:I172" si="58">IF($I$4=0, 0, H171/$I$4)</f>
        <v>0</v>
      </c>
      <c r="K171" s="12"/>
      <c r="L171" s="13"/>
    </row>
    <row r="172" spans="3:12" ht="16" x14ac:dyDescent="0.35">
      <c r="C172" s="67"/>
      <c r="D172" s="33"/>
      <c r="E172" s="33"/>
      <c r="F172" s="33"/>
      <c r="G172" s="53" t="s">
        <v>855</v>
      </c>
      <c r="H172" s="54">
        <f>SUM(H171)</f>
        <v>0</v>
      </c>
      <c r="I172" s="56">
        <f t="shared" si="58"/>
        <v>0</v>
      </c>
      <c r="K172" s="87"/>
      <c r="L172" s="56"/>
    </row>
    <row r="173" spans="3:12" ht="13.5" x14ac:dyDescent="0.25">
      <c r="C173" s="97" t="s">
        <v>312</v>
      </c>
      <c r="D173" s="98" t="s">
        <v>313</v>
      </c>
      <c r="E173" s="98">
        <v>100</v>
      </c>
      <c r="F173" s="98" t="s">
        <v>25</v>
      </c>
      <c r="G173" s="100">
        <v>0</v>
      </c>
      <c r="H173" s="101">
        <f t="shared" ref="H173:H174" si="59">E173*G173</f>
        <v>0</v>
      </c>
      <c r="I173" s="102">
        <f t="shared" ref="I173:I175" si="60">IF($I$4=0, 0, H173/$I$4)</f>
        <v>0</v>
      </c>
      <c r="K173" s="12"/>
      <c r="L173" s="13"/>
    </row>
    <row r="174" spans="3:12" ht="13.5" x14ac:dyDescent="0.25">
      <c r="C174" s="97" t="s">
        <v>314</v>
      </c>
      <c r="D174" s="98" t="s">
        <v>315</v>
      </c>
      <c r="E174" s="98">
        <v>0</v>
      </c>
      <c r="F174" s="98" t="s">
        <v>27</v>
      </c>
      <c r="G174" s="100">
        <v>0</v>
      </c>
      <c r="H174" s="101">
        <f t="shared" si="59"/>
        <v>0</v>
      </c>
      <c r="I174" s="102">
        <f t="shared" si="60"/>
        <v>0</v>
      </c>
      <c r="K174" s="12"/>
      <c r="L174" s="13"/>
    </row>
    <row r="175" spans="3:12" ht="16" x14ac:dyDescent="0.35">
      <c r="C175" s="67"/>
      <c r="D175" s="33"/>
      <c r="E175" s="33"/>
      <c r="F175" s="33"/>
      <c r="G175" s="53" t="s">
        <v>856</v>
      </c>
      <c r="H175" s="54">
        <f>SUM(H173:H174)</f>
        <v>0</v>
      </c>
      <c r="I175" s="56">
        <f t="shared" si="60"/>
        <v>0</v>
      </c>
      <c r="K175" s="87"/>
      <c r="L175" s="56"/>
    </row>
    <row r="176" spans="3:12" ht="13.5" x14ac:dyDescent="0.25">
      <c r="C176" s="97" t="s">
        <v>316</v>
      </c>
      <c r="D176" s="98" t="s">
        <v>317</v>
      </c>
      <c r="E176" s="98">
        <v>0</v>
      </c>
      <c r="F176" s="98" t="s">
        <v>72</v>
      </c>
      <c r="G176" s="100">
        <v>0</v>
      </c>
      <c r="H176" s="101">
        <f t="shared" ref="H176" si="61">E176*G176</f>
        <v>0</v>
      </c>
      <c r="I176" s="102">
        <f t="shared" ref="I176:I177" si="62">IF($I$4=0, 0, H176/$I$4)</f>
        <v>0</v>
      </c>
      <c r="K176" s="12"/>
      <c r="L176" s="13"/>
    </row>
    <row r="177" spans="3:12" ht="16" x14ac:dyDescent="0.35">
      <c r="C177" s="68"/>
      <c r="D177" s="29"/>
      <c r="E177" s="29"/>
      <c r="F177" s="29"/>
      <c r="G177" s="53" t="s">
        <v>856</v>
      </c>
      <c r="H177" s="54">
        <f>SUM(H176:H176)</f>
        <v>0</v>
      </c>
      <c r="I177" s="56">
        <f t="shared" si="62"/>
        <v>0</v>
      </c>
      <c r="K177" s="82"/>
      <c r="L177" s="83"/>
    </row>
    <row r="178" spans="3:12" ht="18" thickBot="1" x14ac:dyDescent="0.4">
      <c r="C178" s="66"/>
      <c r="D178" s="50"/>
      <c r="E178" s="50"/>
      <c r="F178" s="31"/>
      <c r="G178" s="50" t="s">
        <v>951</v>
      </c>
      <c r="H178" s="95">
        <f>SUM(H157,H159,H161,H163,H165,H167,H170,H172,H175,H177)</f>
        <v>0</v>
      </c>
      <c r="I178" s="96">
        <f t="shared" ref="I178" si="63">IF($I$4=0, 0, H178/$I$4)</f>
        <v>0</v>
      </c>
      <c r="K178" s="73"/>
      <c r="L178" s="74"/>
    </row>
    <row r="179" spans="3:12" ht="17.5" x14ac:dyDescent="0.35">
      <c r="C179" s="64" t="s">
        <v>859</v>
      </c>
      <c r="D179" s="43"/>
      <c r="E179" s="43"/>
      <c r="F179" s="43"/>
      <c r="G179" s="43"/>
      <c r="H179" s="44"/>
      <c r="I179" s="45"/>
      <c r="K179" s="80"/>
      <c r="L179" s="45"/>
    </row>
    <row r="180" spans="3:12" ht="13.5" x14ac:dyDescent="0.25">
      <c r="C180" s="97" t="s">
        <v>319</v>
      </c>
      <c r="D180" s="98" t="s">
        <v>320</v>
      </c>
      <c r="E180" s="98">
        <v>100</v>
      </c>
      <c r="F180" s="98" t="s">
        <v>25</v>
      </c>
      <c r="G180" s="100">
        <v>0</v>
      </c>
      <c r="H180" s="101">
        <f t="shared" ref="H180:H200" si="64">E180*G180</f>
        <v>0</v>
      </c>
      <c r="I180" s="102">
        <f t="shared" ref="I180:I202" si="65">IF($I$4=0, 0, H180/$I$4)</f>
        <v>0</v>
      </c>
      <c r="K180" s="12"/>
      <c r="L180" s="13"/>
    </row>
    <row r="181" spans="3:12" ht="13.5" x14ac:dyDescent="0.25">
      <c r="C181" s="97" t="s">
        <v>319</v>
      </c>
      <c r="D181" s="98" t="s">
        <v>860</v>
      </c>
      <c r="E181" s="98">
        <v>1</v>
      </c>
      <c r="F181" s="98" t="s">
        <v>25</v>
      </c>
      <c r="G181" s="100">
        <v>0</v>
      </c>
      <c r="H181" s="101">
        <f t="shared" si="64"/>
        <v>0</v>
      </c>
      <c r="I181" s="102">
        <f t="shared" si="65"/>
        <v>0</v>
      </c>
      <c r="K181" s="12"/>
      <c r="L181" s="13"/>
    </row>
    <row r="182" spans="3:12" ht="13.5" x14ac:dyDescent="0.25">
      <c r="C182" s="97" t="s">
        <v>319</v>
      </c>
      <c r="D182" s="98" t="s">
        <v>321</v>
      </c>
      <c r="E182" s="98">
        <v>1</v>
      </c>
      <c r="F182" s="98" t="s">
        <v>25</v>
      </c>
      <c r="G182" s="100">
        <v>0</v>
      </c>
      <c r="H182" s="101">
        <f t="shared" si="64"/>
        <v>0</v>
      </c>
      <c r="I182" s="102">
        <f t="shared" si="65"/>
        <v>0</v>
      </c>
      <c r="K182" s="12"/>
      <c r="L182" s="13"/>
    </row>
    <row r="183" spans="3:12" ht="13.5" x14ac:dyDescent="0.25">
      <c r="C183" s="97" t="s">
        <v>322</v>
      </c>
      <c r="D183" s="98" t="s">
        <v>323</v>
      </c>
      <c r="E183" s="98">
        <v>0</v>
      </c>
      <c r="F183" s="98" t="s">
        <v>72</v>
      </c>
      <c r="G183" s="100">
        <v>0</v>
      </c>
      <c r="H183" s="101">
        <f t="shared" si="64"/>
        <v>0</v>
      </c>
      <c r="I183" s="102">
        <f t="shared" si="65"/>
        <v>0</v>
      </c>
      <c r="K183" s="12"/>
      <c r="L183" s="13"/>
    </row>
    <row r="184" spans="3:12" ht="13.5" x14ac:dyDescent="0.25">
      <c r="C184" s="97" t="s">
        <v>324</v>
      </c>
      <c r="D184" s="98" t="s">
        <v>861</v>
      </c>
      <c r="E184" s="98">
        <v>1</v>
      </c>
      <c r="F184" s="98" t="s">
        <v>72</v>
      </c>
      <c r="G184" s="100">
        <v>0</v>
      </c>
      <c r="H184" s="101">
        <f t="shared" si="64"/>
        <v>0</v>
      </c>
      <c r="I184" s="102">
        <f t="shared" si="65"/>
        <v>0</v>
      </c>
      <c r="K184" s="12"/>
      <c r="L184" s="13"/>
    </row>
    <row r="185" spans="3:12" ht="13.5" x14ac:dyDescent="0.25">
      <c r="C185" s="97" t="s">
        <v>326</v>
      </c>
      <c r="D185" s="98" t="s">
        <v>327</v>
      </c>
      <c r="E185" s="98">
        <v>50</v>
      </c>
      <c r="F185" s="98" t="s">
        <v>25</v>
      </c>
      <c r="G185" s="100">
        <v>0</v>
      </c>
      <c r="H185" s="101">
        <f t="shared" si="64"/>
        <v>0</v>
      </c>
      <c r="I185" s="102">
        <f t="shared" si="65"/>
        <v>0</v>
      </c>
      <c r="K185" s="12"/>
      <c r="L185" s="13"/>
    </row>
    <row r="186" spans="3:12" ht="13.5" x14ac:dyDescent="0.25">
      <c r="C186" s="97" t="s">
        <v>328</v>
      </c>
      <c r="D186" s="98" t="s">
        <v>329</v>
      </c>
      <c r="E186" s="98">
        <v>0</v>
      </c>
      <c r="F186" s="98" t="s">
        <v>72</v>
      </c>
      <c r="G186" s="100">
        <v>0</v>
      </c>
      <c r="H186" s="101">
        <f t="shared" si="64"/>
        <v>0</v>
      </c>
      <c r="I186" s="102">
        <f t="shared" si="65"/>
        <v>0</v>
      </c>
      <c r="K186" s="12"/>
      <c r="L186" s="13"/>
    </row>
    <row r="187" spans="3:12" ht="13.5" x14ac:dyDescent="0.25">
      <c r="C187" s="97" t="s">
        <v>330</v>
      </c>
      <c r="D187" s="98" t="s">
        <v>862</v>
      </c>
      <c r="E187" s="98">
        <v>1</v>
      </c>
      <c r="F187" s="98" t="s">
        <v>72</v>
      </c>
      <c r="G187" s="100">
        <v>0</v>
      </c>
      <c r="H187" s="101">
        <f t="shared" si="64"/>
        <v>0</v>
      </c>
      <c r="I187" s="102">
        <f t="shared" si="65"/>
        <v>0</v>
      </c>
      <c r="K187" s="12"/>
      <c r="L187" s="13"/>
    </row>
    <row r="188" spans="3:12" ht="13.5" x14ac:dyDescent="0.25">
      <c r="C188" s="97" t="s">
        <v>332</v>
      </c>
      <c r="D188" s="98" t="s">
        <v>863</v>
      </c>
      <c r="E188" s="98">
        <v>100</v>
      </c>
      <c r="F188" s="98" t="s">
        <v>25</v>
      </c>
      <c r="G188" s="100">
        <v>0</v>
      </c>
      <c r="H188" s="101">
        <f t="shared" si="64"/>
        <v>0</v>
      </c>
      <c r="I188" s="102">
        <f t="shared" si="65"/>
        <v>0</v>
      </c>
      <c r="K188" s="12"/>
      <c r="L188" s="13"/>
    </row>
    <row r="189" spans="3:12" ht="13.5" x14ac:dyDescent="0.25">
      <c r="C189" s="97" t="s">
        <v>334</v>
      </c>
      <c r="D189" s="98" t="s">
        <v>864</v>
      </c>
      <c r="E189" s="98">
        <v>100</v>
      </c>
      <c r="F189" s="98" t="s">
        <v>25</v>
      </c>
      <c r="G189" s="100">
        <v>0</v>
      </c>
      <c r="H189" s="101">
        <f t="shared" si="64"/>
        <v>0</v>
      </c>
      <c r="I189" s="102">
        <f t="shared" si="65"/>
        <v>0</v>
      </c>
      <c r="K189" s="12"/>
      <c r="L189" s="13"/>
    </row>
    <row r="190" spans="3:12" ht="13.5" x14ac:dyDescent="0.25">
      <c r="C190" s="97" t="s">
        <v>336</v>
      </c>
      <c r="D190" s="98" t="s">
        <v>337</v>
      </c>
      <c r="E190" s="98">
        <v>30</v>
      </c>
      <c r="F190" s="98" t="s">
        <v>25</v>
      </c>
      <c r="G190" s="100">
        <v>0</v>
      </c>
      <c r="H190" s="101">
        <f t="shared" si="64"/>
        <v>0</v>
      </c>
      <c r="I190" s="102">
        <f t="shared" si="65"/>
        <v>0</v>
      </c>
      <c r="K190" s="12"/>
      <c r="L190" s="13"/>
    </row>
    <row r="191" spans="3:12" ht="13.5" x14ac:dyDescent="0.25">
      <c r="C191" s="97" t="s">
        <v>336</v>
      </c>
      <c r="D191" s="98" t="s">
        <v>338</v>
      </c>
      <c r="E191" s="98">
        <v>1</v>
      </c>
      <c r="F191" s="98" t="s">
        <v>25</v>
      </c>
      <c r="G191" s="100">
        <v>0</v>
      </c>
      <c r="H191" s="101">
        <f t="shared" si="64"/>
        <v>0</v>
      </c>
      <c r="I191" s="102">
        <f t="shared" si="65"/>
        <v>0</v>
      </c>
      <c r="K191" s="12"/>
      <c r="L191" s="13"/>
    </row>
    <row r="192" spans="3:12" ht="13.5" x14ac:dyDescent="0.25">
      <c r="C192" s="97" t="s">
        <v>339</v>
      </c>
      <c r="D192" s="98" t="s">
        <v>340</v>
      </c>
      <c r="E192" s="98">
        <v>2</v>
      </c>
      <c r="F192" s="98" t="s">
        <v>25</v>
      </c>
      <c r="G192" s="100">
        <v>0</v>
      </c>
      <c r="H192" s="101">
        <f t="shared" si="64"/>
        <v>0</v>
      </c>
      <c r="I192" s="102">
        <f t="shared" si="65"/>
        <v>0</v>
      </c>
      <c r="K192" s="12"/>
      <c r="L192" s="13"/>
    </row>
    <row r="193" spans="3:12" ht="13.5" x14ac:dyDescent="0.25">
      <c r="C193" s="97" t="s">
        <v>341</v>
      </c>
      <c r="D193" s="98" t="s">
        <v>865</v>
      </c>
      <c r="E193" s="98">
        <v>20</v>
      </c>
      <c r="F193" s="98" t="s">
        <v>25</v>
      </c>
      <c r="G193" s="100">
        <v>0</v>
      </c>
      <c r="H193" s="101">
        <f t="shared" si="64"/>
        <v>0</v>
      </c>
      <c r="I193" s="102">
        <f t="shared" si="65"/>
        <v>0</v>
      </c>
      <c r="K193" s="12"/>
      <c r="L193" s="13"/>
    </row>
    <row r="194" spans="3:12" ht="13.5" x14ac:dyDescent="0.25">
      <c r="C194" s="97" t="s">
        <v>343</v>
      </c>
      <c r="D194" s="98" t="s">
        <v>344</v>
      </c>
      <c r="E194" s="98">
        <v>0</v>
      </c>
      <c r="F194" s="98" t="s">
        <v>72</v>
      </c>
      <c r="G194" s="100">
        <v>0</v>
      </c>
      <c r="H194" s="101">
        <f t="shared" si="64"/>
        <v>0</v>
      </c>
      <c r="I194" s="102">
        <f t="shared" si="65"/>
        <v>0</v>
      </c>
      <c r="K194" s="12"/>
      <c r="L194" s="13"/>
    </row>
    <row r="195" spans="3:12" ht="13.5" x14ac:dyDescent="0.25">
      <c r="C195" s="97" t="s">
        <v>345</v>
      </c>
      <c r="D195" s="98" t="s">
        <v>346</v>
      </c>
      <c r="E195" s="98">
        <v>100</v>
      </c>
      <c r="F195" s="98" t="s">
        <v>25</v>
      </c>
      <c r="G195" s="100">
        <v>0</v>
      </c>
      <c r="H195" s="101">
        <f t="shared" si="64"/>
        <v>0</v>
      </c>
      <c r="I195" s="102">
        <f t="shared" si="65"/>
        <v>0</v>
      </c>
      <c r="K195" s="12"/>
      <c r="L195" s="13"/>
    </row>
    <row r="196" spans="3:12" ht="13.5" x14ac:dyDescent="0.25">
      <c r="C196" s="97" t="s">
        <v>345</v>
      </c>
      <c r="D196" s="98" t="s">
        <v>347</v>
      </c>
      <c r="E196" s="98">
        <v>0</v>
      </c>
      <c r="F196" s="98" t="s">
        <v>72</v>
      </c>
      <c r="G196" s="100">
        <v>0</v>
      </c>
      <c r="H196" s="101">
        <f t="shared" si="64"/>
        <v>0</v>
      </c>
      <c r="I196" s="102">
        <f t="shared" si="65"/>
        <v>0</v>
      </c>
      <c r="K196" s="12"/>
      <c r="L196" s="13"/>
    </row>
    <row r="197" spans="3:12" ht="13.5" x14ac:dyDescent="0.25">
      <c r="C197" s="97" t="s">
        <v>348</v>
      </c>
      <c r="D197" s="98" t="s">
        <v>349</v>
      </c>
      <c r="E197" s="98">
        <v>100</v>
      </c>
      <c r="F197" s="98" t="s">
        <v>25</v>
      </c>
      <c r="G197" s="100">
        <v>0</v>
      </c>
      <c r="H197" s="101">
        <f t="shared" si="64"/>
        <v>0</v>
      </c>
      <c r="I197" s="102">
        <f t="shared" si="65"/>
        <v>0</v>
      </c>
      <c r="K197" s="12"/>
      <c r="L197" s="13"/>
    </row>
    <row r="198" spans="3:12" ht="13.5" x14ac:dyDescent="0.25">
      <c r="C198" s="97" t="s">
        <v>350</v>
      </c>
      <c r="D198" s="98" t="s">
        <v>866</v>
      </c>
      <c r="E198" s="98">
        <v>0</v>
      </c>
      <c r="F198" s="98" t="s">
        <v>72</v>
      </c>
      <c r="G198" s="100">
        <v>0</v>
      </c>
      <c r="H198" s="101">
        <f t="shared" si="64"/>
        <v>0</v>
      </c>
      <c r="I198" s="102">
        <f t="shared" si="65"/>
        <v>0</v>
      </c>
      <c r="K198" s="12"/>
      <c r="L198" s="13"/>
    </row>
    <row r="199" spans="3:12" ht="13.5" x14ac:dyDescent="0.25">
      <c r="C199" s="97" t="s">
        <v>352</v>
      </c>
      <c r="D199" s="98" t="s">
        <v>353</v>
      </c>
      <c r="E199" s="98">
        <v>0</v>
      </c>
      <c r="F199" s="98" t="s">
        <v>72</v>
      </c>
      <c r="G199" s="100">
        <v>0</v>
      </c>
      <c r="H199" s="101">
        <f t="shared" si="64"/>
        <v>0</v>
      </c>
      <c r="I199" s="102">
        <f t="shared" si="65"/>
        <v>0</v>
      </c>
      <c r="K199" s="12"/>
      <c r="L199" s="13"/>
    </row>
    <row r="200" spans="3:12" ht="13.5" x14ac:dyDescent="0.25">
      <c r="C200" s="97" t="s">
        <v>354</v>
      </c>
      <c r="D200" s="98" t="s">
        <v>355</v>
      </c>
      <c r="E200" s="98">
        <v>0</v>
      </c>
      <c r="F200" s="98" t="s">
        <v>72</v>
      </c>
      <c r="G200" s="100">
        <v>0</v>
      </c>
      <c r="H200" s="101">
        <f t="shared" si="64"/>
        <v>0</v>
      </c>
      <c r="I200" s="102">
        <f t="shared" si="65"/>
        <v>0</v>
      </c>
      <c r="K200" s="12"/>
      <c r="L200" s="13"/>
    </row>
    <row r="201" spans="3:12" ht="16" x14ac:dyDescent="0.35">
      <c r="C201" s="68"/>
      <c r="D201" s="29"/>
      <c r="E201" s="29"/>
      <c r="F201" s="29"/>
      <c r="G201" s="53" t="s">
        <v>867</v>
      </c>
      <c r="H201" s="54">
        <f>SUM(H180:H200)</f>
        <v>0</v>
      </c>
      <c r="I201" s="56">
        <f t="shared" si="65"/>
        <v>0</v>
      </c>
      <c r="K201" s="82"/>
      <c r="L201" s="83"/>
    </row>
    <row r="202" spans="3:12" ht="18" thickBot="1" x14ac:dyDescent="0.4">
      <c r="C202" s="66"/>
      <c r="D202" s="50"/>
      <c r="E202" s="50"/>
      <c r="F202" s="31"/>
      <c r="G202" s="50" t="s">
        <v>952</v>
      </c>
      <c r="H202" s="95">
        <f>SUM(H201)</f>
        <v>0</v>
      </c>
      <c r="I202" s="95">
        <f t="shared" si="65"/>
        <v>0</v>
      </c>
      <c r="K202" s="73"/>
      <c r="L202" s="74"/>
    </row>
    <row r="203" spans="3:12" ht="17.5" x14ac:dyDescent="0.35">
      <c r="C203" s="64" t="s">
        <v>869</v>
      </c>
      <c r="D203" s="43"/>
      <c r="E203" s="43"/>
      <c r="F203" s="43"/>
      <c r="G203" s="43"/>
      <c r="H203" s="44"/>
      <c r="I203" s="45"/>
      <c r="K203" s="80"/>
      <c r="L203" s="45"/>
    </row>
    <row r="204" spans="3:12" ht="13.5" x14ac:dyDescent="0.25">
      <c r="C204" s="97" t="s">
        <v>356</v>
      </c>
      <c r="D204" s="98" t="s">
        <v>357</v>
      </c>
      <c r="E204" s="98">
        <v>0</v>
      </c>
      <c r="F204" s="98" t="s">
        <v>72</v>
      </c>
      <c r="G204" s="100">
        <v>0</v>
      </c>
      <c r="H204" s="101">
        <f t="shared" ref="H204:H210" si="66">E204*G204</f>
        <v>0</v>
      </c>
      <c r="I204" s="102">
        <f t="shared" ref="I204:I212" si="67">IF($I$4=0, 0, H204/$I$4)</f>
        <v>0</v>
      </c>
      <c r="K204" s="12"/>
      <c r="L204" s="13"/>
    </row>
    <row r="205" spans="3:12" ht="13.5" x14ac:dyDescent="0.25">
      <c r="C205" s="97" t="s">
        <v>358</v>
      </c>
      <c r="D205" s="98" t="s">
        <v>359</v>
      </c>
      <c r="E205" s="98">
        <v>1</v>
      </c>
      <c r="F205" s="98" t="s">
        <v>72</v>
      </c>
      <c r="G205" s="100">
        <v>0</v>
      </c>
      <c r="H205" s="101">
        <f t="shared" si="66"/>
        <v>0</v>
      </c>
      <c r="I205" s="102">
        <f t="shared" si="67"/>
        <v>0</v>
      </c>
      <c r="K205" s="12"/>
      <c r="L205" s="13"/>
    </row>
    <row r="206" spans="3:12" ht="13.5" x14ac:dyDescent="0.25">
      <c r="C206" s="97" t="s">
        <v>360</v>
      </c>
      <c r="D206" s="98" t="s">
        <v>361</v>
      </c>
      <c r="E206" s="98">
        <v>100</v>
      </c>
      <c r="F206" s="98" t="s">
        <v>25</v>
      </c>
      <c r="G206" s="100">
        <v>0</v>
      </c>
      <c r="H206" s="101">
        <f t="shared" si="66"/>
        <v>0</v>
      </c>
      <c r="I206" s="102">
        <f t="shared" si="67"/>
        <v>0</v>
      </c>
      <c r="K206" s="12"/>
      <c r="L206" s="13"/>
    </row>
    <row r="207" spans="3:12" ht="13.5" x14ac:dyDescent="0.25">
      <c r="C207" s="97" t="s">
        <v>362</v>
      </c>
      <c r="D207" s="98" t="s">
        <v>363</v>
      </c>
      <c r="E207" s="98">
        <v>3</v>
      </c>
      <c r="F207" s="98" t="s">
        <v>25</v>
      </c>
      <c r="G207" s="100">
        <v>0</v>
      </c>
      <c r="H207" s="101">
        <f t="shared" si="66"/>
        <v>0</v>
      </c>
      <c r="I207" s="102">
        <f t="shared" si="67"/>
        <v>0</v>
      </c>
      <c r="K207" s="12"/>
      <c r="L207" s="13"/>
    </row>
    <row r="208" spans="3:12" ht="13.5" x14ac:dyDescent="0.25">
      <c r="C208" s="97" t="s">
        <v>364</v>
      </c>
      <c r="D208" s="98" t="s">
        <v>365</v>
      </c>
      <c r="E208" s="98">
        <v>0</v>
      </c>
      <c r="F208" s="98" t="s">
        <v>72</v>
      </c>
      <c r="G208" s="100">
        <v>0</v>
      </c>
      <c r="H208" s="101">
        <f t="shared" si="66"/>
        <v>0</v>
      </c>
      <c r="I208" s="102">
        <f t="shared" si="67"/>
        <v>0</v>
      </c>
      <c r="K208" s="12"/>
      <c r="L208" s="13"/>
    </row>
    <row r="209" spans="3:12" ht="13.5" x14ac:dyDescent="0.25">
      <c r="C209" s="97" t="s">
        <v>366</v>
      </c>
      <c r="D209" s="98" t="s">
        <v>367</v>
      </c>
      <c r="E209" s="98">
        <v>0</v>
      </c>
      <c r="F209" s="98" t="s">
        <v>72</v>
      </c>
      <c r="G209" s="100">
        <v>0</v>
      </c>
      <c r="H209" s="101">
        <f t="shared" si="66"/>
        <v>0</v>
      </c>
      <c r="I209" s="102">
        <f t="shared" si="67"/>
        <v>0</v>
      </c>
      <c r="K209" s="12"/>
      <c r="L209" s="13"/>
    </row>
    <row r="210" spans="3:12" ht="13.5" x14ac:dyDescent="0.25">
      <c r="C210" s="97" t="s">
        <v>368</v>
      </c>
      <c r="D210" s="98" t="s">
        <v>369</v>
      </c>
      <c r="E210" s="98">
        <v>0</v>
      </c>
      <c r="F210" s="98" t="s">
        <v>72</v>
      </c>
      <c r="G210" s="100">
        <v>0</v>
      </c>
      <c r="H210" s="101">
        <f t="shared" si="66"/>
        <v>0</v>
      </c>
      <c r="I210" s="102">
        <f t="shared" si="67"/>
        <v>0</v>
      </c>
      <c r="K210" s="12"/>
      <c r="L210" s="13"/>
    </row>
    <row r="211" spans="3:12" ht="16" x14ac:dyDescent="0.35">
      <c r="C211" s="68"/>
      <c r="D211" s="29"/>
      <c r="E211" s="29"/>
      <c r="F211" s="29"/>
      <c r="G211" s="53" t="s">
        <v>870</v>
      </c>
      <c r="H211" s="54">
        <f>SUM(H204:H210)</f>
        <v>0</v>
      </c>
      <c r="I211" s="56">
        <f t="shared" si="67"/>
        <v>0</v>
      </c>
      <c r="K211" s="82"/>
      <c r="L211" s="83"/>
    </row>
    <row r="212" spans="3:12" ht="18" thickBot="1" x14ac:dyDescent="0.4">
      <c r="C212" s="66"/>
      <c r="D212" s="50"/>
      <c r="E212" s="50"/>
      <c r="F212" s="31"/>
      <c r="G212" s="50" t="s">
        <v>953</v>
      </c>
      <c r="H212" s="95">
        <f>SUM(H211)</f>
        <v>0</v>
      </c>
      <c r="I212" s="95">
        <f t="shared" si="67"/>
        <v>0</v>
      </c>
      <c r="K212" s="73"/>
      <c r="L212" s="74"/>
    </row>
    <row r="213" spans="3:12" ht="17.5" x14ac:dyDescent="0.35">
      <c r="C213" s="64" t="s">
        <v>872</v>
      </c>
      <c r="D213" s="43"/>
      <c r="E213" s="43"/>
      <c r="F213" s="43"/>
      <c r="G213" s="43"/>
      <c r="H213" s="44"/>
      <c r="I213" s="45"/>
      <c r="K213" s="80"/>
      <c r="L213" s="45"/>
    </row>
    <row r="214" spans="3:12" ht="13.5" x14ac:dyDescent="0.25">
      <c r="C214" s="97" t="s">
        <v>370</v>
      </c>
      <c r="D214" s="98" t="s">
        <v>371</v>
      </c>
      <c r="E214" s="98">
        <v>100</v>
      </c>
      <c r="F214" s="98" t="s">
        <v>25</v>
      </c>
      <c r="G214" s="100">
        <v>0</v>
      </c>
      <c r="H214" s="101">
        <f t="shared" ref="H214:H221" si="68">E214*G214</f>
        <v>0</v>
      </c>
      <c r="I214" s="102">
        <f t="shared" ref="I214:I223" si="69">IF($I$4=0, 0, H214/$I$4)</f>
        <v>0</v>
      </c>
      <c r="K214" s="12"/>
      <c r="L214" s="13"/>
    </row>
    <row r="215" spans="3:12" ht="13.5" x14ac:dyDescent="0.25">
      <c r="C215" s="97" t="s">
        <v>372</v>
      </c>
      <c r="D215" s="98" t="s">
        <v>873</v>
      </c>
      <c r="E215" s="98">
        <v>100</v>
      </c>
      <c r="F215" s="98" t="s">
        <v>25</v>
      </c>
      <c r="G215" s="100">
        <v>0</v>
      </c>
      <c r="H215" s="101">
        <f t="shared" si="68"/>
        <v>0</v>
      </c>
      <c r="I215" s="102">
        <f t="shared" si="69"/>
        <v>0</v>
      </c>
      <c r="K215" s="12"/>
      <c r="L215" s="13"/>
    </row>
    <row r="216" spans="3:12" ht="13.5" x14ac:dyDescent="0.25">
      <c r="C216" s="97" t="s">
        <v>372</v>
      </c>
      <c r="D216" s="98" t="s">
        <v>373</v>
      </c>
      <c r="E216" s="98">
        <v>1</v>
      </c>
      <c r="F216" s="98" t="s">
        <v>72</v>
      </c>
      <c r="G216" s="100">
        <v>0</v>
      </c>
      <c r="H216" s="101">
        <f t="shared" si="68"/>
        <v>0</v>
      </c>
      <c r="I216" s="102">
        <f t="shared" si="69"/>
        <v>0</v>
      </c>
      <c r="K216" s="12"/>
      <c r="L216" s="13"/>
    </row>
    <row r="217" spans="3:12" ht="13.5" x14ac:dyDescent="0.25">
      <c r="C217" s="97" t="s">
        <v>374</v>
      </c>
      <c r="D217" s="98" t="s">
        <v>375</v>
      </c>
      <c r="E217" s="98">
        <v>100</v>
      </c>
      <c r="F217" s="98" t="s">
        <v>25</v>
      </c>
      <c r="G217" s="100">
        <v>0</v>
      </c>
      <c r="H217" s="101">
        <f t="shared" si="68"/>
        <v>0</v>
      </c>
      <c r="I217" s="102">
        <f t="shared" si="69"/>
        <v>0</v>
      </c>
      <c r="K217" s="12"/>
      <c r="L217" s="13"/>
    </row>
    <row r="218" spans="3:12" ht="13.5" x14ac:dyDescent="0.25">
      <c r="C218" s="97" t="s">
        <v>376</v>
      </c>
      <c r="D218" s="98" t="s">
        <v>377</v>
      </c>
      <c r="E218" s="98">
        <v>1</v>
      </c>
      <c r="F218" s="98" t="s">
        <v>72</v>
      </c>
      <c r="G218" s="100">
        <v>0</v>
      </c>
      <c r="H218" s="101">
        <f t="shared" si="68"/>
        <v>0</v>
      </c>
      <c r="I218" s="102">
        <f t="shared" si="69"/>
        <v>0</v>
      </c>
      <c r="K218" s="12"/>
      <c r="L218" s="13"/>
    </row>
    <row r="219" spans="3:12" ht="13.5" x14ac:dyDescent="0.25">
      <c r="C219" s="97" t="s">
        <v>378</v>
      </c>
      <c r="D219" s="98" t="s">
        <v>874</v>
      </c>
      <c r="E219" s="98">
        <v>0</v>
      </c>
      <c r="F219" s="98" t="s">
        <v>72</v>
      </c>
      <c r="G219" s="100">
        <v>0</v>
      </c>
      <c r="H219" s="101">
        <f t="shared" si="68"/>
        <v>0</v>
      </c>
      <c r="I219" s="102">
        <f t="shared" si="69"/>
        <v>0</v>
      </c>
      <c r="K219" s="12"/>
      <c r="L219" s="13"/>
    </row>
    <row r="220" spans="3:12" ht="13.5" x14ac:dyDescent="0.25">
      <c r="C220" s="97" t="s">
        <v>380</v>
      </c>
      <c r="D220" s="98" t="s">
        <v>875</v>
      </c>
      <c r="E220" s="98">
        <v>0</v>
      </c>
      <c r="F220" s="98" t="s">
        <v>72</v>
      </c>
      <c r="G220" s="100">
        <v>0</v>
      </c>
      <c r="H220" s="101">
        <f t="shared" si="68"/>
        <v>0</v>
      </c>
      <c r="I220" s="102">
        <f t="shared" si="69"/>
        <v>0</v>
      </c>
      <c r="K220" s="12"/>
      <c r="L220" s="13"/>
    </row>
    <row r="221" spans="3:12" ht="13.5" x14ac:dyDescent="0.25">
      <c r="C221" s="97" t="s">
        <v>382</v>
      </c>
      <c r="D221" s="98" t="s">
        <v>876</v>
      </c>
      <c r="E221" s="98">
        <v>1</v>
      </c>
      <c r="F221" s="98" t="s">
        <v>72</v>
      </c>
      <c r="G221" s="100">
        <v>0</v>
      </c>
      <c r="H221" s="101">
        <f t="shared" si="68"/>
        <v>0</v>
      </c>
      <c r="I221" s="102">
        <f t="shared" si="69"/>
        <v>0</v>
      </c>
      <c r="K221" s="12"/>
      <c r="L221" s="13"/>
    </row>
    <row r="222" spans="3:12" ht="16" x14ac:dyDescent="0.35">
      <c r="C222" s="68"/>
      <c r="D222" s="29"/>
      <c r="E222" s="29"/>
      <c r="F222" s="29"/>
      <c r="G222" s="53" t="s">
        <v>877</v>
      </c>
      <c r="H222" s="54">
        <f>SUM(H214:H221)</f>
        <v>0</v>
      </c>
      <c r="I222" s="56">
        <f t="shared" si="69"/>
        <v>0</v>
      </c>
      <c r="K222" s="82"/>
      <c r="L222" s="83"/>
    </row>
    <row r="223" spans="3:12" ht="18" thickBot="1" x14ac:dyDescent="0.4">
      <c r="C223" s="66"/>
      <c r="D223" s="50"/>
      <c r="E223" s="50"/>
      <c r="F223" s="31"/>
      <c r="G223" s="50" t="s">
        <v>954</v>
      </c>
      <c r="H223" s="95">
        <f>SUM(H222)</f>
        <v>0</v>
      </c>
      <c r="I223" s="95">
        <f t="shared" si="69"/>
        <v>0</v>
      </c>
      <c r="K223" s="73"/>
      <c r="L223" s="74"/>
    </row>
    <row r="224" spans="3:12" ht="17.5" x14ac:dyDescent="0.35">
      <c r="C224" s="64" t="s">
        <v>879</v>
      </c>
      <c r="D224" s="43"/>
      <c r="E224" s="43"/>
      <c r="F224" s="43"/>
      <c r="G224" s="43"/>
      <c r="H224" s="44"/>
      <c r="I224" s="45"/>
      <c r="K224" s="80"/>
      <c r="L224" s="45"/>
    </row>
    <row r="225" spans="3:12" ht="13.5" x14ac:dyDescent="0.25">
      <c r="C225" s="97" t="s">
        <v>384</v>
      </c>
      <c r="D225" s="98" t="s">
        <v>385</v>
      </c>
      <c r="E225" s="98">
        <v>1</v>
      </c>
      <c r="F225" s="98" t="s">
        <v>72</v>
      </c>
      <c r="G225" s="100">
        <v>0</v>
      </c>
      <c r="H225" s="101">
        <f t="shared" ref="H225:H228" si="70">E225*G225</f>
        <v>0</v>
      </c>
      <c r="I225" s="102">
        <f t="shared" ref="I225:I230" si="71">IF($I$4=0, 0, H225/$I$4)</f>
        <v>0</v>
      </c>
      <c r="K225" s="12"/>
      <c r="L225" s="13"/>
    </row>
    <row r="226" spans="3:12" ht="13.5" x14ac:dyDescent="0.25">
      <c r="C226" s="97" t="s">
        <v>384</v>
      </c>
      <c r="D226" s="98" t="s">
        <v>386</v>
      </c>
      <c r="E226" s="98">
        <v>1</v>
      </c>
      <c r="F226" s="98" t="s">
        <v>72</v>
      </c>
      <c r="G226" s="100">
        <v>0</v>
      </c>
      <c r="H226" s="101">
        <f t="shared" si="70"/>
        <v>0</v>
      </c>
      <c r="I226" s="102">
        <f t="shared" si="71"/>
        <v>0</v>
      </c>
      <c r="K226" s="12"/>
      <c r="L226" s="13"/>
    </row>
    <row r="227" spans="3:12" ht="13.5" x14ac:dyDescent="0.25">
      <c r="C227" s="97" t="s">
        <v>387</v>
      </c>
      <c r="D227" s="98" t="s">
        <v>388</v>
      </c>
      <c r="E227" s="98">
        <v>2</v>
      </c>
      <c r="F227" s="98" t="s">
        <v>72</v>
      </c>
      <c r="G227" s="100">
        <v>0</v>
      </c>
      <c r="H227" s="101">
        <f t="shared" si="70"/>
        <v>0</v>
      </c>
      <c r="I227" s="102">
        <f t="shared" si="71"/>
        <v>0</v>
      </c>
      <c r="K227" s="12"/>
      <c r="L227" s="13"/>
    </row>
    <row r="228" spans="3:12" ht="13.5" x14ac:dyDescent="0.25">
      <c r="C228" s="97" t="s">
        <v>389</v>
      </c>
      <c r="D228" s="98" t="s">
        <v>390</v>
      </c>
      <c r="E228" s="98">
        <v>1</v>
      </c>
      <c r="F228" s="98" t="s">
        <v>72</v>
      </c>
      <c r="G228" s="100">
        <v>0</v>
      </c>
      <c r="H228" s="101">
        <f t="shared" si="70"/>
        <v>0</v>
      </c>
      <c r="I228" s="102">
        <f t="shared" si="71"/>
        <v>0</v>
      </c>
      <c r="K228" s="12"/>
      <c r="L228" s="13"/>
    </row>
    <row r="229" spans="3:12" ht="16" x14ac:dyDescent="0.35">
      <c r="C229" s="68"/>
      <c r="D229" s="29"/>
      <c r="E229" s="29"/>
      <c r="F229" s="29"/>
      <c r="G229" s="53" t="s">
        <v>880</v>
      </c>
      <c r="H229" s="54">
        <f>SUM(H225:H228)</f>
        <v>0</v>
      </c>
      <c r="I229" s="56">
        <f t="shared" si="71"/>
        <v>0</v>
      </c>
      <c r="K229" s="82"/>
      <c r="L229" s="83"/>
    </row>
    <row r="230" spans="3:12" ht="18" thickBot="1" x14ac:dyDescent="0.4">
      <c r="C230" s="66"/>
      <c r="D230" s="50"/>
      <c r="E230" s="50"/>
      <c r="F230" s="31"/>
      <c r="G230" s="50" t="s">
        <v>955</v>
      </c>
      <c r="H230" s="95">
        <f>SUM(H229)</f>
        <v>0</v>
      </c>
      <c r="I230" s="95">
        <f t="shared" si="71"/>
        <v>0</v>
      </c>
      <c r="K230" s="73"/>
      <c r="L230" s="74"/>
    </row>
    <row r="231" spans="3:12" ht="17.5" x14ac:dyDescent="0.35">
      <c r="C231" s="64" t="s">
        <v>882</v>
      </c>
      <c r="D231" s="43"/>
      <c r="E231" s="43"/>
      <c r="F231" s="43"/>
      <c r="G231" s="43"/>
      <c r="H231" s="44"/>
      <c r="I231" s="45"/>
      <c r="K231" s="80"/>
      <c r="L231" s="45"/>
    </row>
    <row r="232" spans="3:12" ht="13.5" x14ac:dyDescent="0.25">
      <c r="C232" s="97" t="s">
        <v>392</v>
      </c>
      <c r="D232" s="98" t="s">
        <v>883</v>
      </c>
      <c r="E232" s="98">
        <v>0</v>
      </c>
      <c r="F232" s="98" t="s">
        <v>25</v>
      </c>
      <c r="G232" s="100">
        <v>0</v>
      </c>
      <c r="H232" s="101">
        <f t="shared" ref="H232:H235" si="72">E232*G232</f>
        <v>0</v>
      </c>
      <c r="I232" s="102">
        <f t="shared" ref="I232:I237" si="73">IF($I$4=0, 0, H232/$I$4)</f>
        <v>0</v>
      </c>
      <c r="K232" s="12"/>
      <c r="L232" s="13"/>
    </row>
    <row r="233" spans="3:12" ht="13.5" x14ac:dyDescent="0.25">
      <c r="C233" s="97" t="s">
        <v>394</v>
      </c>
      <c r="D233" s="98" t="s">
        <v>395</v>
      </c>
      <c r="E233" s="98">
        <v>14</v>
      </c>
      <c r="F233" s="98" t="s">
        <v>884</v>
      </c>
      <c r="G233" s="100">
        <v>0</v>
      </c>
      <c r="H233" s="101">
        <f t="shared" si="72"/>
        <v>0</v>
      </c>
      <c r="I233" s="102">
        <f t="shared" si="73"/>
        <v>0</v>
      </c>
      <c r="K233" s="12"/>
      <c r="L233" s="13"/>
    </row>
    <row r="234" spans="3:12" ht="13.5" x14ac:dyDescent="0.25">
      <c r="C234" s="97" t="s">
        <v>396</v>
      </c>
      <c r="D234" s="98" t="s">
        <v>397</v>
      </c>
      <c r="E234" s="98">
        <v>0</v>
      </c>
      <c r="F234" s="98" t="s">
        <v>25</v>
      </c>
      <c r="G234" s="100">
        <v>0</v>
      </c>
      <c r="H234" s="101">
        <f t="shared" si="72"/>
        <v>0</v>
      </c>
      <c r="I234" s="102">
        <f t="shared" si="73"/>
        <v>0</v>
      </c>
      <c r="K234" s="12"/>
      <c r="L234" s="13"/>
    </row>
    <row r="235" spans="3:12" ht="13.5" x14ac:dyDescent="0.25">
      <c r="C235" s="97" t="s">
        <v>398</v>
      </c>
      <c r="D235" s="98" t="s">
        <v>399</v>
      </c>
      <c r="E235" s="98">
        <v>1</v>
      </c>
      <c r="F235" s="98" t="s">
        <v>25</v>
      </c>
      <c r="G235" s="100">
        <v>0</v>
      </c>
      <c r="H235" s="101">
        <f t="shared" si="72"/>
        <v>0</v>
      </c>
      <c r="I235" s="102">
        <f t="shared" si="73"/>
        <v>0</v>
      </c>
      <c r="K235" s="12"/>
      <c r="L235" s="13"/>
    </row>
    <row r="236" spans="3:12" ht="16" x14ac:dyDescent="0.35">
      <c r="C236" s="68"/>
      <c r="D236" s="29"/>
      <c r="E236" s="29"/>
      <c r="F236" s="29"/>
      <c r="G236" s="53" t="s">
        <v>885</v>
      </c>
      <c r="H236" s="54">
        <f>SUM(H232:H235)</f>
        <v>0</v>
      </c>
      <c r="I236" s="56">
        <f t="shared" si="73"/>
        <v>0</v>
      </c>
      <c r="K236" s="82"/>
      <c r="L236" s="83"/>
    </row>
    <row r="237" spans="3:12" ht="18" thickBot="1" x14ac:dyDescent="0.4">
      <c r="C237" s="66"/>
      <c r="D237" s="50"/>
      <c r="E237" s="50"/>
      <c r="F237" s="31"/>
      <c r="G237" s="50" t="s">
        <v>956</v>
      </c>
      <c r="H237" s="95">
        <f>SUM(H236)</f>
        <v>0</v>
      </c>
      <c r="I237" s="95">
        <f t="shared" si="73"/>
        <v>0</v>
      </c>
      <c r="K237" s="73"/>
      <c r="L237" s="74"/>
    </row>
    <row r="238" spans="3:12" ht="17.5" x14ac:dyDescent="0.35">
      <c r="C238" s="64" t="s">
        <v>887</v>
      </c>
      <c r="D238" s="43"/>
      <c r="E238" s="43"/>
      <c r="F238" s="43"/>
      <c r="G238" s="43"/>
      <c r="H238" s="44"/>
      <c r="I238" s="45"/>
      <c r="K238" s="80"/>
      <c r="L238" s="45"/>
    </row>
    <row r="239" spans="3:12" ht="13.5" x14ac:dyDescent="0.25">
      <c r="C239" s="97" t="s">
        <v>400</v>
      </c>
      <c r="D239" s="98" t="s">
        <v>401</v>
      </c>
      <c r="E239" s="98">
        <v>100</v>
      </c>
      <c r="F239" s="98" t="s">
        <v>25</v>
      </c>
      <c r="G239" s="100">
        <v>0</v>
      </c>
      <c r="H239" s="101">
        <f t="shared" ref="H239:H240" si="74">E239*G239</f>
        <v>0</v>
      </c>
      <c r="I239" s="102">
        <f t="shared" ref="I239:I242" si="75">IF($I$4=0, 0, H239/$I$4)</f>
        <v>0</v>
      </c>
      <c r="K239" s="12"/>
      <c r="L239" s="13"/>
    </row>
    <row r="240" spans="3:12" ht="13.5" x14ac:dyDescent="0.25">
      <c r="C240" s="97" t="s">
        <v>400</v>
      </c>
      <c r="D240" s="98" t="s">
        <v>402</v>
      </c>
      <c r="E240" s="98">
        <v>1</v>
      </c>
      <c r="F240" s="98" t="s">
        <v>72</v>
      </c>
      <c r="G240" s="100">
        <v>0</v>
      </c>
      <c r="H240" s="101">
        <f t="shared" si="74"/>
        <v>0</v>
      </c>
      <c r="I240" s="102">
        <f t="shared" si="75"/>
        <v>0</v>
      </c>
      <c r="K240" s="12"/>
      <c r="L240" s="13"/>
    </row>
    <row r="241" spans="3:12" ht="16" x14ac:dyDescent="0.35">
      <c r="C241" s="68"/>
      <c r="D241" s="29"/>
      <c r="E241" s="29"/>
      <c r="F241" s="29"/>
      <c r="G241" s="53" t="s">
        <v>888</v>
      </c>
      <c r="H241" s="54">
        <f>SUM(H239:H240)</f>
        <v>0</v>
      </c>
      <c r="I241" s="56">
        <f t="shared" si="75"/>
        <v>0</v>
      </c>
      <c r="K241" s="82"/>
      <c r="L241" s="83"/>
    </row>
    <row r="242" spans="3:12" ht="18" thickBot="1" x14ac:dyDescent="0.4">
      <c r="C242" s="66"/>
      <c r="D242" s="50"/>
      <c r="E242" s="50"/>
      <c r="F242" s="31"/>
      <c r="G242" s="50" t="s">
        <v>957</v>
      </c>
      <c r="H242" s="95">
        <f>SUM(H241)</f>
        <v>0</v>
      </c>
      <c r="I242" s="95">
        <f t="shared" si="75"/>
        <v>0</v>
      </c>
      <c r="K242" s="73"/>
      <c r="L242" s="74"/>
    </row>
    <row r="243" spans="3:12" ht="17.5" x14ac:dyDescent="0.35">
      <c r="C243" s="64" t="s">
        <v>890</v>
      </c>
      <c r="D243" s="43"/>
      <c r="E243" s="43"/>
      <c r="F243" s="43"/>
      <c r="G243" s="43"/>
      <c r="H243" s="44"/>
      <c r="I243" s="45"/>
      <c r="K243" s="80"/>
      <c r="L243" s="45"/>
    </row>
    <row r="244" spans="3:12" ht="13.5" x14ac:dyDescent="0.25">
      <c r="C244" s="97" t="s">
        <v>403</v>
      </c>
      <c r="D244" s="98" t="s">
        <v>404</v>
      </c>
      <c r="E244" s="98">
        <v>100</v>
      </c>
      <c r="F244" s="98" t="s">
        <v>25</v>
      </c>
      <c r="G244" s="100">
        <v>0</v>
      </c>
      <c r="H244" s="101">
        <f t="shared" ref="H244:H245" si="76">E244*G244</f>
        <v>0</v>
      </c>
      <c r="I244" s="102">
        <f t="shared" ref="I244:I247" si="77">IF($I$4=0, 0, H244/$I$4)</f>
        <v>0</v>
      </c>
      <c r="K244" s="12"/>
      <c r="L244" s="13"/>
    </row>
    <row r="245" spans="3:12" ht="13.5" x14ac:dyDescent="0.25">
      <c r="C245" s="97" t="s">
        <v>403</v>
      </c>
      <c r="D245" s="98" t="s">
        <v>405</v>
      </c>
      <c r="E245" s="98">
        <v>1E-3</v>
      </c>
      <c r="F245" s="98" t="s">
        <v>72</v>
      </c>
      <c r="G245" s="100">
        <v>0</v>
      </c>
      <c r="H245" s="101">
        <f t="shared" si="76"/>
        <v>0</v>
      </c>
      <c r="I245" s="102">
        <f t="shared" si="77"/>
        <v>0</v>
      </c>
      <c r="K245" s="12"/>
      <c r="L245" s="13"/>
    </row>
    <row r="246" spans="3:12" ht="16" x14ac:dyDescent="0.35">
      <c r="C246" s="68"/>
      <c r="D246" s="29"/>
      <c r="E246" s="29"/>
      <c r="F246" s="29"/>
      <c r="G246" s="53" t="s">
        <v>891</v>
      </c>
      <c r="H246" s="54">
        <f>SUM(H244:H245)</f>
        <v>0</v>
      </c>
      <c r="I246" s="56">
        <f t="shared" si="77"/>
        <v>0</v>
      </c>
      <c r="K246" s="82"/>
      <c r="L246" s="83"/>
    </row>
    <row r="247" spans="3:12" ht="18" thickBot="1" x14ac:dyDescent="0.4">
      <c r="C247" s="66"/>
      <c r="D247" s="50"/>
      <c r="E247" s="50"/>
      <c r="F247" s="31"/>
      <c r="G247" s="50" t="s">
        <v>958</v>
      </c>
      <c r="H247" s="95">
        <f>SUM(H246)</f>
        <v>0</v>
      </c>
      <c r="I247" s="95">
        <f t="shared" si="77"/>
        <v>0</v>
      </c>
      <c r="K247" s="73"/>
      <c r="L247" s="74"/>
    </row>
    <row r="248" spans="3:12" ht="17.5" x14ac:dyDescent="0.35">
      <c r="C248" s="64" t="s">
        <v>893</v>
      </c>
      <c r="D248" s="43"/>
      <c r="E248" s="43"/>
      <c r="F248" s="43"/>
      <c r="G248" s="43"/>
      <c r="H248" s="44"/>
      <c r="I248" s="45"/>
      <c r="K248" s="78"/>
      <c r="L248" s="79"/>
    </row>
    <row r="249" spans="3:12" ht="13.5" x14ac:dyDescent="0.25">
      <c r="C249" s="97" t="s">
        <v>406</v>
      </c>
      <c r="D249" s="98" t="s">
        <v>894</v>
      </c>
      <c r="E249" s="98">
        <v>100</v>
      </c>
      <c r="F249" s="98" t="s">
        <v>25</v>
      </c>
      <c r="G249" s="100">
        <v>0</v>
      </c>
      <c r="H249" s="101">
        <f t="shared" ref="H249:H250" si="78">E249*G249</f>
        <v>0</v>
      </c>
      <c r="I249" s="102">
        <f t="shared" ref="I249:I252" si="79">IF($I$4=0, 0, H249/$I$4)</f>
        <v>0</v>
      </c>
      <c r="K249" s="12"/>
      <c r="L249" s="13"/>
    </row>
    <row r="250" spans="3:12" ht="13.5" x14ac:dyDescent="0.25">
      <c r="C250" s="97" t="s">
        <v>406</v>
      </c>
      <c r="D250" s="98" t="s">
        <v>895</v>
      </c>
      <c r="E250" s="98">
        <v>0</v>
      </c>
      <c r="F250" s="98" t="s">
        <v>72</v>
      </c>
      <c r="G250" s="100">
        <v>0</v>
      </c>
      <c r="H250" s="101">
        <f t="shared" si="78"/>
        <v>0</v>
      </c>
      <c r="I250" s="102">
        <f t="shared" si="79"/>
        <v>0</v>
      </c>
      <c r="K250" s="12"/>
      <c r="L250" s="13"/>
    </row>
    <row r="251" spans="3:12" ht="16" x14ac:dyDescent="0.35">
      <c r="C251" s="68"/>
      <c r="D251" s="29"/>
      <c r="E251" s="29"/>
      <c r="F251" s="29"/>
      <c r="G251" s="53" t="s">
        <v>896</v>
      </c>
      <c r="H251" s="54">
        <f>SUM(H249:H250)</f>
        <v>0</v>
      </c>
      <c r="I251" s="56">
        <f t="shared" si="79"/>
        <v>0</v>
      </c>
      <c r="K251" s="82"/>
      <c r="L251" s="83"/>
    </row>
    <row r="252" spans="3:12" ht="18" thickBot="1" x14ac:dyDescent="0.4">
      <c r="C252" s="66"/>
      <c r="D252" s="50"/>
      <c r="E252" s="50"/>
      <c r="F252" s="31"/>
      <c r="G252" s="50" t="s">
        <v>959</v>
      </c>
      <c r="H252" s="95">
        <f>SUM(H251)</f>
        <v>0</v>
      </c>
      <c r="I252" s="95">
        <f t="shared" si="79"/>
        <v>0</v>
      </c>
      <c r="K252" s="73"/>
      <c r="L252" s="74"/>
    </row>
    <row r="253" spans="3:12" ht="17.5" x14ac:dyDescent="0.35">
      <c r="C253" s="64" t="s">
        <v>898</v>
      </c>
      <c r="D253" s="43"/>
      <c r="E253" s="43"/>
      <c r="F253" s="43"/>
      <c r="G253" s="43"/>
      <c r="H253" s="44"/>
      <c r="I253" s="45"/>
      <c r="K253" s="80"/>
      <c r="L253" s="45"/>
    </row>
    <row r="254" spans="3:12" ht="13.5" x14ac:dyDescent="0.25">
      <c r="C254" s="105" t="s">
        <v>407</v>
      </c>
      <c r="D254" s="106" t="s">
        <v>408</v>
      </c>
      <c r="E254" s="106">
        <v>100</v>
      </c>
      <c r="F254" s="106" t="s">
        <v>25</v>
      </c>
      <c r="G254" s="100">
        <v>0</v>
      </c>
      <c r="H254" s="101">
        <f t="shared" ref="H254:H255" si="80">E254*G254</f>
        <v>0</v>
      </c>
      <c r="I254" s="102">
        <f t="shared" ref="I254:I257" si="81">IF($I$4=0, 0, H254/$I$4)</f>
        <v>0</v>
      </c>
      <c r="K254" s="12"/>
      <c r="L254" s="13"/>
    </row>
    <row r="255" spans="3:12" ht="13.5" x14ac:dyDescent="0.25">
      <c r="C255" s="105" t="s">
        <v>407</v>
      </c>
      <c r="D255" s="106" t="s">
        <v>899</v>
      </c>
      <c r="E255" s="106">
        <v>0</v>
      </c>
      <c r="F255" s="106" t="s">
        <v>27</v>
      </c>
      <c r="G255" s="100">
        <v>0</v>
      </c>
      <c r="H255" s="101">
        <f t="shared" si="80"/>
        <v>0</v>
      </c>
      <c r="I255" s="102">
        <f t="shared" si="81"/>
        <v>0</v>
      </c>
      <c r="K255" s="12"/>
      <c r="L255" s="13"/>
    </row>
    <row r="256" spans="3:12" ht="16" x14ac:dyDescent="0.35">
      <c r="C256" s="68"/>
      <c r="D256" s="29"/>
      <c r="E256" s="29"/>
      <c r="F256" s="29"/>
      <c r="G256" s="53" t="s">
        <v>900</v>
      </c>
      <c r="H256" s="54">
        <f>SUM(H254:H255)</f>
        <v>0</v>
      </c>
      <c r="I256" s="56">
        <f t="shared" si="81"/>
        <v>0</v>
      </c>
      <c r="K256" s="82"/>
      <c r="L256" s="83"/>
    </row>
    <row r="257" spans="3:12" ht="18" thickBot="1" x14ac:dyDescent="0.4">
      <c r="C257" s="66"/>
      <c r="D257" s="50"/>
      <c r="E257" s="50"/>
      <c r="F257" s="31"/>
      <c r="G257" s="50" t="s">
        <v>960</v>
      </c>
      <c r="H257" s="95">
        <f>SUM(H256)</f>
        <v>0</v>
      </c>
      <c r="I257" s="95">
        <f t="shared" si="81"/>
        <v>0</v>
      </c>
      <c r="K257" s="73"/>
      <c r="L257" s="74"/>
    </row>
    <row r="258" spans="3:12" ht="17.5" x14ac:dyDescent="0.35">
      <c r="C258" s="64" t="s">
        <v>902</v>
      </c>
      <c r="D258" s="43"/>
      <c r="E258" s="43"/>
      <c r="F258" s="43"/>
      <c r="G258" s="43"/>
      <c r="H258" s="44"/>
      <c r="I258" s="45"/>
      <c r="K258" s="78"/>
      <c r="L258" s="79"/>
    </row>
    <row r="259" spans="3:12" ht="13.5" x14ac:dyDescent="0.25">
      <c r="C259" s="97" t="s">
        <v>409</v>
      </c>
      <c r="D259" s="98" t="s">
        <v>410</v>
      </c>
      <c r="E259" s="98">
        <v>1</v>
      </c>
      <c r="F259" s="98" t="s">
        <v>72</v>
      </c>
      <c r="G259" s="100">
        <v>0</v>
      </c>
      <c r="H259" s="101">
        <f t="shared" ref="H259:H260" si="82">E259*G259</f>
        <v>0</v>
      </c>
      <c r="I259" s="102">
        <f t="shared" ref="I259:I262" si="83">IF($I$4=0, 0, H259/$I$4)</f>
        <v>0</v>
      </c>
      <c r="K259" s="12"/>
      <c r="L259" s="13"/>
    </row>
    <row r="260" spans="3:12" ht="13.5" x14ac:dyDescent="0.25">
      <c r="C260" s="97" t="s">
        <v>411</v>
      </c>
      <c r="D260" s="98" t="s">
        <v>412</v>
      </c>
      <c r="E260" s="98">
        <v>1</v>
      </c>
      <c r="F260" s="98" t="s">
        <v>72</v>
      </c>
      <c r="G260" s="100">
        <v>0</v>
      </c>
      <c r="H260" s="101">
        <f t="shared" si="82"/>
        <v>0</v>
      </c>
      <c r="I260" s="102">
        <f t="shared" si="83"/>
        <v>0</v>
      </c>
      <c r="K260" s="12"/>
      <c r="L260" s="13"/>
    </row>
    <row r="261" spans="3:12" ht="16" x14ac:dyDescent="0.35">
      <c r="C261" s="68"/>
      <c r="D261" s="29"/>
      <c r="E261" s="29"/>
      <c r="F261" s="29"/>
      <c r="G261" s="53" t="s">
        <v>903</v>
      </c>
      <c r="H261" s="54">
        <f>SUM(H259:H260)</f>
        <v>0</v>
      </c>
      <c r="I261" s="56">
        <f t="shared" si="83"/>
        <v>0</v>
      </c>
      <c r="K261" s="82"/>
      <c r="L261" s="83"/>
    </row>
    <row r="262" spans="3:12" ht="18" thickBot="1" x14ac:dyDescent="0.4">
      <c r="C262" s="66"/>
      <c r="D262" s="50"/>
      <c r="E262" s="50"/>
      <c r="F262" s="31"/>
      <c r="G262" s="50" t="s">
        <v>961</v>
      </c>
      <c r="H262" s="95">
        <f>SUM(H261)</f>
        <v>0</v>
      </c>
      <c r="I262" s="95">
        <f t="shared" si="83"/>
        <v>0</v>
      </c>
      <c r="K262" s="73"/>
      <c r="L262" s="74"/>
    </row>
    <row r="263" spans="3:12" ht="17.5" x14ac:dyDescent="0.35">
      <c r="C263" s="64" t="s">
        <v>905</v>
      </c>
      <c r="D263" s="43"/>
      <c r="E263" s="43"/>
      <c r="F263" s="43"/>
      <c r="G263" s="43"/>
      <c r="H263" s="44"/>
      <c r="I263" s="45"/>
      <c r="K263" s="80"/>
      <c r="L263" s="45"/>
    </row>
    <row r="264" spans="3:12" ht="13.5" x14ac:dyDescent="0.25">
      <c r="C264" s="97" t="s">
        <v>413</v>
      </c>
      <c r="D264" s="98" t="s">
        <v>414</v>
      </c>
      <c r="E264" s="98">
        <v>1</v>
      </c>
      <c r="F264" s="98" t="s">
        <v>72</v>
      </c>
      <c r="G264" s="100">
        <v>0</v>
      </c>
      <c r="H264" s="101">
        <f t="shared" ref="H264:H267" si="84">E264*G264</f>
        <v>0</v>
      </c>
      <c r="I264" s="102">
        <f t="shared" ref="I264:I269" si="85">IF($I$4=0, 0, H264/$I$4)</f>
        <v>0</v>
      </c>
      <c r="K264" s="12"/>
      <c r="L264" s="13"/>
    </row>
    <row r="265" spans="3:12" ht="13.5" x14ac:dyDescent="0.25">
      <c r="C265" s="97" t="s">
        <v>415</v>
      </c>
      <c r="D265" s="98" t="s">
        <v>416</v>
      </c>
      <c r="E265" s="98">
        <v>1</v>
      </c>
      <c r="F265" s="98" t="s">
        <v>72</v>
      </c>
      <c r="G265" s="100">
        <v>0</v>
      </c>
      <c r="H265" s="101">
        <f t="shared" si="84"/>
        <v>0</v>
      </c>
      <c r="I265" s="102">
        <f t="shared" si="85"/>
        <v>0</v>
      </c>
      <c r="K265" s="12"/>
      <c r="L265" s="13"/>
    </row>
    <row r="266" spans="3:12" ht="13.5" x14ac:dyDescent="0.25">
      <c r="C266" s="97" t="s">
        <v>417</v>
      </c>
      <c r="D266" s="98" t="s">
        <v>418</v>
      </c>
      <c r="E266" s="98">
        <v>1</v>
      </c>
      <c r="F266" s="98" t="s">
        <v>72</v>
      </c>
      <c r="G266" s="100">
        <v>0</v>
      </c>
      <c r="H266" s="101">
        <f t="shared" si="84"/>
        <v>0</v>
      </c>
      <c r="I266" s="102">
        <f t="shared" si="85"/>
        <v>0</v>
      </c>
      <c r="K266" s="12"/>
      <c r="L266" s="13"/>
    </row>
    <row r="267" spans="3:12" ht="13.5" x14ac:dyDescent="0.25">
      <c r="C267" s="97" t="s">
        <v>419</v>
      </c>
      <c r="D267" s="98" t="s">
        <v>420</v>
      </c>
      <c r="E267" s="98">
        <v>0</v>
      </c>
      <c r="F267" s="98" t="s">
        <v>27</v>
      </c>
      <c r="G267" s="100">
        <v>0</v>
      </c>
      <c r="H267" s="101">
        <f t="shared" si="84"/>
        <v>0</v>
      </c>
      <c r="I267" s="102">
        <f t="shared" si="85"/>
        <v>0</v>
      </c>
      <c r="K267" s="12"/>
      <c r="L267" s="13"/>
    </row>
    <row r="268" spans="3:12" ht="16" x14ac:dyDescent="0.35">
      <c r="C268" s="68"/>
      <c r="D268" s="29"/>
      <c r="E268" s="29"/>
      <c r="F268" s="29"/>
      <c r="G268" s="53" t="s">
        <v>906</v>
      </c>
      <c r="H268" s="54">
        <f>SUM(H264:H267)</f>
        <v>0</v>
      </c>
      <c r="I268" s="56">
        <f t="shared" si="85"/>
        <v>0</v>
      </c>
      <c r="K268" s="82"/>
      <c r="L268" s="83"/>
    </row>
    <row r="269" spans="3:12" ht="18" thickBot="1" x14ac:dyDescent="0.4">
      <c r="C269" s="66"/>
      <c r="D269" s="50"/>
      <c r="E269" s="50"/>
      <c r="F269" s="31"/>
      <c r="G269" s="50" t="s">
        <v>962</v>
      </c>
      <c r="H269" s="95">
        <f>SUM(H268)</f>
        <v>0</v>
      </c>
      <c r="I269" s="95">
        <f t="shared" si="85"/>
        <v>0</v>
      </c>
      <c r="K269" s="73"/>
      <c r="L269" s="74"/>
    </row>
    <row r="270" spans="3:12" ht="17.5" x14ac:dyDescent="0.35">
      <c r="C270" s="64" t="s">
        <v>908</v>
      </c>
      <c r="D270" s="43"/>
      <c r="E270" s="43"/>
      <c r="F270" s="43"/>
      <c r="G270" s="43"/>
      <c r="H270" s="44"/>
      <c r="I270" s="45"/>
      <c r="K270" s="80"/>
      <c r="L270" s="45"/>
    </row>
    <row r="271" spans="3:12" ht="13.5" x14ac:dyDescent="0.25">
      <c r="C271" s="97" t="s">
        <v>421</v>
      </c>
      <c r="D271" s="98" t="s">
        <v>422</v>
      </c>
      <c r="E271" s="98">
        <v>1</v>
      </c>
      <c r="F271" s="98" t="s">
        <v>72</v>
      </c>
      <c r="G271" s="100">
        <v>0</v>
      </c>
      <c r="H271" s="101">
        <f t="shared" ref="H271:H274" si="86">E271*G271</f>
        <v>0</v>
      </c>
      <c r="I271" s="102">
        <f t="shared" ref="I271:I276" si="87">IF($I$4=0, 0, H271/$I$4)</f>
        <v>0</v>
      </c>
      <c r="K271" s="12"/>
      <c r="L271" s="13"/>
    </row>
    <row r="272" spans="3:12" ht="13.5" x14ac:dyDescent="0.25">
      <c r="C272" s="97" t="s">
        <v>423</v>
      </c>
      <c r="D272" s="98" t="s">
        <v>424</v>
      </c>
      <c r="E272" s="98">
        <v>0</v>
      </c>
      <c r="F272" s="98" t="s">
        <v>72</v>
      </c>
      <c r="G272" s="100">
        <v>0</v>
      </c>
      <c r="H272" s="101">
        <f t="shared" si="86"/>
        <v>0</v>
      </c>
      <c r="I272" s="102">
        <f t="shared" si="87"/>
        <v>0</v>
      </c>
      <c r="K272" s="12"/>
      <c r="L272" s="13"/>
    </row>
    <row r="273" spans="3:12" ht="13.5" x14ac:dyDescent="0.25">
      <c r="C273" s="97" t="s">
        <v>426</v>
      </c>
      <c r="D273" s="98" t="s">
        <v>427</v>
      </c>
      <c r="E273" s="98">
        <v>0</v>
      </c>
      <c r="F273" s="98" t="s">
        <v>72</v>
      </c>
      <c r="G273" s="100">
        <v>0</v>
      </c>
      <c r="H273" s="101">
        <f t="shared" si="86"/>
        <v>0</v>
      </c>
      <c r="I273" s="102">
        <f t="shared" si="87"/>
        <v>0</v>
      </c>
      <c r="K273" s="12"/>
      <c r="L273" s="13"/>
    </row>
    <row r="274" spans="3:12" ht="14" thickBot="1" x14ac:dyDescent="0.3">
      <c r="C274" s="97" t="s">
        <v>428</v>
      </c>
      <c r="D274" s="98" t="s">
        <v>429</v>
      </c>
      <c r="E274" s="98">
        <v>0</v>
      </c>
      <c r="F274" s="98" t="s">
        <v>72</v>
      </c>
      <c r="G274" s="100">
        <v>0</v>
      </c>
      <c r="H274" s="101">
        <f t="shared" si="86"/>
        <v>0</v>
      </c>
      <c r="I274" s="102">
        <f t="shared" si="87"/>
        <v>0</v>
      </c>
      <c r="K274" s="41"/>
      <c r="L274" s="42"/>
    </row>
    <row r="275" spans="3:12" ht="16" x14ac:dyDescent="0.35">
      <c r="C275" s="68"/>
      <c r="D275" s="29"/>
      <c r="E275" s="29"/>
      <c r="F275" s="29"/>
      <c r="G275" s="53" t="s">
        <v>909</v>
      </c>
      <c r="H275" s="54">
        <f>SUM(H271:H274)</f>
        <v>0</v>
      </c>
      <c r="I275" s="56">
        <f t="shared" si="87"/>
        <v>0</v>
      </c>
      <c r="K275" s="82"/>
      <c r="L275" s="83"/>
    </row>
    <row r="276" spans="3:12" ht="18" thickBot="1" x14ac:dyDescent="0.4">
      <c r="C276" s="66"/>
      <c r="D276" s="50"/>
      <c r="E276" s="50"/>
      <c r="F276" s="31"/>
      <c r="G276" s="50" t="s">
        <v>963</v>
      </c>
      <c r="H276" s="95">
        <f>SUM(H275)</f>
        <v>0</v>
      </c>
      <c r="I276" s="95">
        <f t="shared" si="87"/>
        <v>0</v>
      </c>
      <c r="K276" s="73"/>
      <c r="L276" s="74"/>
    </row>
    <row r="277" spans="3:12" ht="17.5" x14ac:dyDescent="0.35">
      <c r="C277" s="64" t="s">
        <v>911</v>
      </c>
      <c r="D277" s="43"/>
      <c r="E277" s="43"/>
      <c r="F277" s="43"/>
      <c r="G277" s="43"/>
      <c r="H277" s="44"/>
      <c r="I277" s="45"/>
      <c r="K277" s="80"/>
      <c r="L277" s="45"/>
    </row>
    <row r="278" spans="3:12" ht="13.5" x14ac:dyDescent="0.25">
      <c r="C278" s="97" t="s">
        <v>430</v>
      </c>
      <c r="D278" s="98" t="s">
        <v>431</v>
      </c>
      <c r="E278" s="103">
        <v>1</v>
      </c>
      <c r="F278" s="98" t="s">
        <v>72</v>
      </c>
      <c r="G278" s="100">
        <v>0</v>
      </c>
      <c r="H278" s="101">
        <f t="shared" ref="H278:H294" si="88">E278*G278</f>
        <v>0</v>
      </c>
      <c r="I278" s="102">
        <f t="shared" ref="I278:I296" si="89">IF($I$4=0, 0, H278/$I$4)</f>
        <v>0</v>
      </c>
      <c r="K278" s="12"/>
      <c r="L278" s="13"/>
    </row>
    <row r="279" spans="3:12" ht="13.5" x14ac:dyDescent="0.25">
      <c r="C279" s="97" t="s">
        <v>430</v>
      </c>
      <c r="D279" s="98" t="s">
        <v>912</v>
      </c>
      <c r="E279" s="103">
        <v>4635.4544444444437</v>
      </c>
      <c r="F279" s="98" t="s">
        <v>309</v>
      </c>
      <c r="G279" s="100">
        <v>0</v>
      </c>
      <c r="H279" s="101">
        <f t="shared" si="88"/>
        <v>0</v>
      </c>
      <c r="I279" s="102">
        <f t="shared" si="89"/>
        <v>0</v>
      </c>
      <c r="K279" s="12"/>
      <c r="L279" s="13"/>
    </row>
    <row r="280" spans="3:12" ht="13.5" x14ac:dyDescent="0.25">
      <c r="C280" s="97" t="s">
        <v>430</v>
      </c>
      <c r="D280" s="98" t="s">
        <v>432</v>
      </c>
      <c r="E280" s="103">
        <v>2414.3944444444442</v>
      </c>
      <c r="F280" s="98" t="s">
        <v>309</v>
      </c>
      <c r="G280" s="100">
        <v>0</v>
      </c>
      <c r="H280" s="101">
        <f t="shared" si="88"/>
        <v>0</v>
      </c>
      <c r="I280" s="102">
        <f t="shared" si="89"/>
        <v>0</v>
      </c>
      <c r="K280" s="12"/>
      <c r="L280" s="13"/>
    </row>
    <row r="281" spans="3:12" ht="13.5" x14ac:dyDescent="0.25">
      <c r="C281" s="97" t="s">
        <v>433</v>
      </c>
      <c r="D281" s="98" t="s">
        <v>434</v>
      </c>
      <c r="E281" s="103">
        <v>0</v>
      </c>
      <c r="F281" s="98" t="s">
        <v>72</v>
      </c>
      <c r="G281" s="100">
        <v>0</v>
      </c>
      <c r="H281" s="101">
        <f t="shared" si="88"/>
        <v>0</v>
      </c>
      <c r="I281" s="102">
        <f t="shared" si="89"/>
        <v>0</v>
      </c>
      <c r="K281" s="12"/>
      <c r="L281" s="13"/>
    </row>
    <row r="282" spans="3:12" ht="13.5" x14ac:dyDescent="0.25">
      <c r="C282" s="97" t="s">
        <v>435</v>
      </c>
      <c r="D282" s="98" t="s">
        <v>436</v>
      </c>
      <c r="E282" s="103">
        <v>0</v>
      </c>
      <c r="F282" s="98" t="s">
        <v>72</v>
      </c>
      <c r="G282" s="100">
        <v>0</v>
      </c>
      <c r="H282" s="101">
        <f t="shared" si="88"/>
        <v>0</v>
      </c>
      <c r="I282" s="102">
        <f t="shared" si="89"/>
        <v>0</v>
      </c>
      <c r="K282" s="12"/>
      <c r="L282" s="13"/>
    </row>
    <row r="283" spans="3:12" ht="13.5" x14ac:dyDescent="0.25">
      <c r="C283" s="97" t="s">
        <v>437</v>
      </c>
      <c r="D283" s="98" t="s">
        <v>438</v>
      </c>
      <c r="E283" s="103">
        <v>0</v>
      </c>
      <c r="F283" s="98" t="s">
        <v>72</v>
      </c>
      <c r="G283" s="100">
        <v>0</v>
      </c>
      <c r="H283" s="101">
        <f t="shared" si="88"/>
        <v>0</v>
      </c>
      <c r="I283" s="102">
        <f t="shared" si="89"/>
        <v>0</v>
      </c>
      <c r="K283" s="12"/>
      <c r="L283" s="13"/>
    </row>
    <row r="284" spans="3:12" ht="13.5" x14ac:dyDescent="0.25">
      <c r="C284" s="97" t="s">
        <v>439</v>
      </c>
      <c r="D284" s="98" t="s">
        <v>440</v>
      </c>
      <c r="E284" s="103">
        <v>0</v>
      </c>
      <c r="F284" s="98" t="s">
        <v>72</v>
      </c>
      <c r="G284" s="100">
        <v>0</v>
      </c>
      <c r="H284" s="101">
        <f t="shared" si="88"/>
        <v>0</v>
      </c>
      <c r="I284" s="102">
        <f t="shared" si="89"/>
        <v>0</v>
      </c>
      <c r="K284" s="12"/>
      <c r="L284" s="13"/>
    </row>
    <row r="285" spans="3:12" ht="13.5" x14ac:dyDescent="0.25">
      <c r="C285" s="97" t="s">
        <v>441</v>
      </c>
      <c r="D285" s="98" t="s">
        <v>442</v>
      </c>
      <c r="E285" s="103">
        <v>1</v>
      </c>
      <c r="F285" s="98" t="s">
        <v>72</v>
      </c>
      <c r="G285" s="100">
        <v>0</v>
      </c>
      <c r="H285" s="101">
        <f t="shared" si="88"/>
        <v>0</v>
      </c>
      <c r="I285" s="102">
        <f t="shared" si="89"/>
        <v>0</v>
      </c>
      <c r="K285" s="12"/>
      <c r="L285" s="13"/>
    </row>
    <row r="286" spans="3:12" ht="13.5" x14ac:dyDescent="0.25">
      <c r="C286" s="97" t="s">
        <v>433</v>
      </c>
      <c r="D286" s="98" t="s">
        <v>443</v>
      </c>
      <c r="E286" s="103">
        <v>1230.26</v>
      </c>
      <c r="F286" s="98" t="s">
        <v>23</v>
      </c>
      <c r="G286" s="100">
        <v>0</v>
      </c>
      <c r="H286" s="101">
        <f t="shared" si="88"/>
        <v>0</v>
      </c>
      <c r="I286" s="102">
        <f t="shared" si="89"/>
        <v>0</v>
      </c>
      <c r="K286" s="12"/>
      <c r="L286" s="13"/>
    </row>
    <row r="287" spans="3:12" ht="13.5" x14ac:dyDescent="0.25">
      <c r="C287" s="97" t="s">
        <v>433</v>
      </c>
      <c r="D287" s="98" t="s">
        <v>444</v>
      </c>
      <c r="E287" s="103">
        <v>1456.67</v>
      </c>
      <c r="F287" s="98" t="s">
        <v>23</v>
      </c>
      <c r="G287" s="100">
        <v>0</v>
      </c>
      <c r="H287" s="101">
        <f t="shared" si="88"/>
        <v>0</v>
      </c>
      <c r="I287" s="102">
        <f t="shared" si="89"/>
        <v>0</v>
      </c>
      <c r="K287" s="12"/>
      <c r="L287" s="13"/>
    </row>
    <row r="288" spans="3:12" ht="13.5" x14ac:dyDescent="0.25">
      <c r="C288" s="97" t="s">
        <v>433</v>
      </c>
      <c r="D288" s="98" t="s">
        <v>445</v>
      </c>
      <c r="E288" s="103">
        <v>267</v>
      </c>
      <c r="F288" s="98" t="s">
        <v>23</v>
      </c>
      <c r="G288" s="100">
        <v>0</v>
      </c>
      <c r="H288" s="101">
        <f t="shared" si="88"/>
        <v>0</v>
      </c>
      <c r="I288" s="102">
        <f t="shared" si="89"/>
        <v>0</v>
      </c>
      <c r="K288" s="12"/>
      <c r="L288" s="13"/>
    </row>
    <row r="289" spans="3:12" ht="13.5" x14ac:dyDescent="0.25">
      <c r="C289" s="97" t="s">
        <v>433</v>
      </c>
      <c r="D289" s="98" t="s">
        <v>446</v>
      </c>
      <c r="E289" s="103">
        <v>5140.3</v>
      </c>
      <c r="F289" s="98" t="s">
        <v>27</v>
      </c>
      <c r="G289" s="100">
        <v>0</v>
      </c>
      <c r="H289" s="101">
        <f t="shared" si="88"/>
        <v>0</v>
      </c>
      <c r="I289" s="102">
        <f t="shared" si="89"/>
        <v>0</v>
      </c>
      <c r="K289" s="12"/>
      <c r="L289" s="13"/>
    </row>
    <row r="290" spans="3:12" ht="13.5" x14ac:dyDescent="0.25">
      <c r="C290" s="97" t="s">
        <v>433</v>
      </c>
      <c r="D290" s="98" t="s">
        <v>447</v>
      </c>
      <c r="E290" s="103">
        <v>1188.9100000000001</v>
      </c>
      <c r="F290" s="98" t="s">
        <v>27</v>
      </c>
      <c r="G290" s="100">
        <v>0</v>
      </c>
      <c r="H290" s="101">
        <f t="shared" si="88"/>
        <v>0</v>
      </c>
      <c r="I290" s="102">
        <f t="shared" si="89"/>
        <v>0</v>
      </c>
      <c r="K290" s="12"/>
      <c r="L290" s="13"/>
    </row>
    <row r="291" spans="3:12" ht="13.5" x14ac:dyDescent="0.25">
      <c r="C291" s="97" t="s">
        <v>449</v>
      </c>
      <c r="D291" s="98" t="s">
        <v>450</v>
      </c>
      <c r="E291" s="103">
        <v>1</v>
      </c>
      <c r="F291" s="98" t="s">
        <v>72</v>
      </c>
      <c r="G291" s="100">
        <v>0</v>
      </c>
      <c r="H291" s="101">
        <f t="shared" si="88"/>
        <v>0</v>
      </c>
      <c r="I291" s="102">
        <f t="shared" si="89"/>
        <v>0</v>
      </c>
      <c r="K291" s="12"/>
      <c r="L291" s="13"/>
    </row>
    <row r="292" spans="3:12" ht="13.5" x14ac:dyDescent="0.25">
      <c r="C292" s="97" t="s">
        <v>451</v>
      </c>
      <c r="D292" s="98" t="s">
        <v>913</v>
      </c>
      <c r="E292" s="103">
        <v>1</v>
      </c>
      <c r="F292" s="98" t="s">
        <v>72</v>
      </c>
      <c r="G292" s="100">
        <v>0</v>
      </c>
      <c r="H292" s="101">
        <f t="shared" si="88"/>
        <v>0</v>
      </c>
      <c r="I292" s="102">
        <f t="shared" si="89"/>
        <v>0</v>
      </c>
      <c r="K292" s="12"/>
      <c r="L292" s="13"/>
    </row>
    <row r="293" spans="3:12" ht="13.5" x14ac:dyDescent="0.25">
      <c r="C293" s="97" t="s">
        <v>453</v>
      </c>
      <c r="D293" s="98" t="s">
        <v>454</v>
      </c>
      <c r="E293" s="103">
        <v>0</v>
      </c>
      <c r="F293" s="98" t="s">
        <v>72</v>
      </c>
      <c r="G293" s="100">
        <v>0</v>
      </c>
      <c r="H293" s="101">
        <f t="shared" si="88"/>
        <v>0</v>
      </c>
      <c r="I293" s="102">
        <f t="shared" si="89"/>
        <v>0</v>
      </c>
      <c r="K293" s="12"/>
      <c r="L293" s="13"/>
    </row>
    <row r="294" spans="3:12" ht="13.5" x14ac:dyDescent="0.25">
      <c r="C294" s="97" t="s">
        <v>455</v>
      </c>
      <c r="D294" s="98" t="s">
        <v>456</v>
      </c>
      <c r="E294" s="103">
        <v>1</v>
      </c>
      <c r="F294" s="98" t="s">
        <v>72</v>
      </c>
      <c r="G294" s="100">
        <v>0</v>
      </c>
      <c r="H294" s="101">
        <f t="shared" si="88"/>
        <v>0</v>
      </c>
      <c r="I294" s="102">
        <f t="shared" si="89"/>
        <v>0</v>
      </c>
      <c r="K294" s="81"/>
      <c r="L294" s="75"/>
    </row>
    <row r="295" spans="3:12" ht="16" x14ac:dyDescent="0.35">
      <c r="C295" s="68"/>
      <c r="D295" s="29"/>
      <c r="E295" s="29"/>
      <c r="F295" s="29"/>
      <c r="G295" s="53" t="s">
        <v>914</v>
      </c>
      <c r="H295" s="54">
        <f>SUM(H278:H294)</f>
        <v>0</v>
      </c>
      <c r="I295" s="56">
        <f t="shared" si="89"/>
        <v>0</v>
      </c>
      <c r="K295" s="82"/>
      <c r="L295" s="83"/>
    </row>
    <row r="296" spans="3:12" ht="18" thickBot="1" x14ac:dyDescent="0.4">
      <c r="C296" s="66"/>
      <c r="D296" s="50"/>
      <c r="E296" s="50"/>
      <c r="F296" s="31"/>
      <c r="G296" s="50" t="s">
        <v>964</v>
      </c>
      <c r="H296" s="95">
        <f>SUM(H295)</f>
        <v>0</v>
      </c>
      <c r="I296" s="95">
        <f t="shared" si="89"/>
        <v>0</v>
      </c>
      <c r="K296" s="73"/>
      <c r="L296" s="74"/>
    </row>
    <row r="297" spans="3:12" ht="17.5" x14ac:dyDescent="0.35">
      <c r="C297" s="64" t="s">
        <v>916</v>
      </c>
      <c r="D297" s="43"/>
      <c r="E297" s="43"/>
      <c r="F297" s="43"/>
      <c r="G297" s="43"/>
      <c r="H297" s="44"/>
      <c r="I297" s="45"/>
      <c r="K297" s="80"/>
      <c r="L297" s="45"/>
    </row>
    <row r="298" spans="3:12" ht="13.5" x14ac:dyDescent="0.25">
      <c r="C298" s="97" t="s">
        <v>457</v>
      </c>
      <c r="D298" s="98" t="s">
        <v>458</v>
      </c>
      <c r="E298" s="98">
        <v>1</v>
      </c>
      <c r="F298" s="98" t="s">
        <v>72</v>
      </c>
      <c r="G298" s="100">
        <v>0</v>
      </c>
      <c r="H298" s="101">
        <f t="shared" ref="H298:H301" si="90">E298*G298</f>
        <v>0</v>
      </c>
      <c r="I298" s="102">
        <f t="shared" ref="I298:I303" si="91">IF($I$4=0, 0, H298/$I$4)</f>
        <v>0</v>
      </c>
      <c r="K298" s="12"/>
      <c r="L298" s="13"/>
    </row>
    <row r="299" spans="3:12" ht="13.5" x14ac:dyDescent="0.25">
      <c r="C299" s="97" t="s">
        <v>457</v>
      </c>
      <c r="D299" s="98" t="s">
        <v>459</v>
      </c>
      <c r="E299" s="98">
        <v>465</v>
      </c>
      <c r="F299" s="98" t="s">
        <v>23</v>
      </c>
      <c r="G299" s="100">
        <v>0</v>
      </c>
      <c r="H299" s="101">
        <f t="shared" si="90"/>
        <v>0</v>
      </c>
      <c r="I299" s="102">
        <f t="shared" si="91"/>
        <v>0</v>
      </c>
      <c r="K299" s="12"/>
      <c r="L299" s="13"/>
    </row>
    <row r="300" spans="3:12" ht="13.5" x14ac:dyDescent="0.25">
      <c r="C300" s="97" t="s">
        <v>457</v>
      </c>
      <c r="D300" s="98" t="s">
        <v>460</v>
      </c>
      <c r="E300" s="98">
        <v>60</v>
      </c>
      <c r="F300" s="98" t="s">
        <v>23</v>
      </c>
      <c r="G300" s="100">
        <v>0</v>
      </c>
      <c r="H300" s="101">
        <f t="shared" si="90"/>
        <v>0</v>
      </c>
      <c r="I300" s="102">
        <f t="shared" si="91"/>
        <v>0</v>
      </c>
      <c r="K300" s="12"/>
      <c r="L300" s="13"/>
    </row>
    <row r="301" spans="3:12" ht="13.5" x14ac:dyDescent="0.25">
      <c r="C301" s="97" t="s">
        <v>457</v>
      </c>
      <c r="D301" s="98" t="s">
        <v>917</v>
      </c>
      <c r="E301" s="98">
        <v>282</v>
      </c>
      <c r="F301" s="98" t="s">
        <v>23</v>
      </c>
      <c r="G301" s="100">
        <v>0</v>
      </c>
      <c r="H301" s="101">
        <f t="shared" si="90"/>
        <v>0</v>
      </c>
      <c r="I301" s="102">
        <f t="shared" si="91"/>
        <v>0</v>
      </c>
      <c r="K301" s="81"/>
      <c r="L301" s="75"/>
    </row>
    <row r="302" spans="3:12" ht="16" x14ac:dyDescent="0.35">
      <c r="C302" s="68"/>
      <c r="D302" s="29"/>
      <c r="E302" s="29"/>
      <c r="F302" s="29"/>
      <c r="G302" s="53" t="s">
        <v>918</v>
      </c>
      <c r="H302" s="54">
        <f>SUM(H298:H301)</f>
        <v>0</v>
      </c>
      <c r="I302" s="56">
        <f t="shared" si="91"/>
        <v>0</v>
      </c>
      <c r="K302" s="82"/>
      <c r="L302" s="83"/>
    </row>
    <row r="303" spans="3:12" ht="18" thickBot="1" x14ac:dyDescent="0.4">
      <c r="C303" s="66"/>
      <c r="D303" s="50"/>
      <c r="E303" s="50"/>
      <c r="F303" s="31"/>
      <c r="G303" s="50" t="s">
        <v>965</v>
      </c>
      <c r="H303" s="95">
        <f>SUM(H302)</f>
        <v>0</v>
      </c>
      <c r="I303" s="95">
        <f t="shared" si="91"/>
        <v>0</v>
      </c>
      <c r="K303" s="73"/>
      <c r="L303" s="74"/>
    </row>
    <row r="304" spans="3:12" ht="17.5" x14ac:dyDescent="0.35">
      <c r="C304" s="64" t="s">
        <v>920</v>
      </c>
      <c r="D304" s="43"/>
      <c r="E304" s="43"/>
      <c r="F304" s="43"/>
      <c r="G304" s="43"/>
      <c r="H304" s="44"/>
      <c r="I304" s="45"/>
      <c r="K304" s="80"/>
      <c r="L304" s="45"/>
    </row>
    <row r="305" spans="3:12" ht="13.5" x14ac:dyDescent="0.25">
      <c r="C305" s="97" t="s">
        <v>461</v>
      </c>
      <c r="D305" s="98"/>
      <c r="E305" s="98"/>
      <c r="F305" s="98"/>
      <c r="G305" s="100">
        <v>0</v>
      </c>
      <c r="H305" s="101">
        <f t="shared" ref="H305" si="92">E305*G305</f>
        <v>0</v>
      </c>
      <c r="I305" s="102">
        <f t="shared" ref="I305:I307" si="93">IF($I$4=0, 0, H305/$I$4)</f>
        <v>0</v>
      </c>
      <c r="K305" s="81"/>
      <c r="L305" s="75"/>
    </row>
    <row r="306" spans="3:12" ht="16" x14ac:dyDescent="0.35">
      <c r="C306" s="68"/>
      <c r="D306" s="29"/>
      <c r="E306" s="29"/>
      <c r="F306" s="29"/>
      <c r="G306" s="53" t="s">
        <v>921</v>
      </c>
      <c r="H306" s="54">
        <f>SUM(H305)</f>
        <v>0</v>
      </c>
      <c r="I306" s="56">
        <f t="shared" si="93"/>
        <v>0</v>
      </c>
      <c r="K306" s="82"/>
      <c r="L306" s="83"/>
    </row>
    <row r="307" spans="3:12" ht="18" thickBot="1" x14ac:dyDescent="0.4">
      <c r="C307" s="66"/>
      <c r="D307" s="50"/>
      <c r="E307" s="50"/>
      <c r="F307" s="31"/>
      <c r="G307" s="50" t="s">
        <v>966</v>
      </c>
      <c r="H307" s="95">
        <f>SUM(H306)</f>
        <v>0</v>
      </c>
      <c r="I307" s="95">
        <f t="shared" si="93"/>
        <v>0</v>
      </c>
      <c r="K307" s="73"/>
      <c r="L307" s="74"/>
    </row>
    <row r="308" spans="3:12" ht="17.5" x14ac:dyDescent="0.35">
      <c r="C308" s="64" t="s">
        <v>926</v>
      </c>
      <c r="D308" s="43"/>
      <c r="E308" s="43"/>
      <c r="F308" s="43"/>
      <c r="G308" s="43"/>
      <c r="H308" s="44"/>
      <c r="I308" s="45"/>
      <c r="K308" s="80"/>
      <c r="L308" s="45"/>
    </row>
    <row r="309" spans="3:12" ht="13.5" x14ac:dyDescent="0.25">
      <c r="C309" s="97" t="s">
        <v>468</v>
      </c>
      <c r="D309" s="98" t="s">
        <v>13</v>
      </c>
      <c r="E309" s="98"/>
      <c r="F309" s="98"/>
      <c r="G309" s="100">
        <v>0</v>
      </c>
      <c r="H309" s="101">
        <f t="shared" ref="H309:H315" si="94">E309*G309</f>
        <v>0</v>
      </c>
      <c r="I309" s="102">
        <f t="shared" ref="I309:I317" si="95">IF($I$4=0, 0, H309/$I$4)</f>
        <v>0</v>
      </c>
      <c r="K309" s="12"/>
      <c r="L309" s="13"/>
    </row>
    <row r="310" spans="3:12" ht="13.5" x14ac:dyDescent="0.25">
      <c r="C310" s="97" t="s">
        <v>469</v>
      </c>
      <c r="D310" s="98" t="s">
        <v>14</v>
      </c>
      <c r="E310" s="98"/>
      <c r="F310" s="98"/>
      <c r="G310" s="100">
        <v>0</v>
      </c>
      <c r="H310" s="101">
        <f t="shared" si="94"/>
        <v>0</v>
      </c>
      <c r="I310" s="102">
        <f t="shared" si="95"/>
        <v>0</v>
      </c>
      <c r="K310" s="12"/>
      <c r="L310" s="13"/>
    </row>
    <row r="311" spans="3:12" ht="13.5" x14ac:dyDescent="0.25">
      <c r="C311" s="97" t="s">
        <v>470</v>
      </c>
      <c r="D311" s="98" t="s">
        <v>15</v>
      </c>
      <c r="E311" s="98"/>
      <c r="F311" s="98"/>
      <c r="G311" s="100">
        <v>0</v>
      </c>
      <c r="H311" s="101">
        <f t="shared" si="94"/>
        <v>0</v>
      </c>
      <c r="I311" s="102">
        <f t="shared" si="95"/>
        <v>0</v>
      </c>
      <c r="K311" s="12"/>
      <c r="L311" s="13"/>
    </row>
    <row r="312" spans="3:12" ht="13.5" x14ac:dyDescent="0.25">
      <c r="C312" s="97" t="s">
        <v>471</v>
      </c>
      <c r="D312" s="98" t="s">
        <v>16</v>
      </c>
      <c r="E312" s="98"/>
      <c r="F312" s="98"/>
      <c r="G312" s="100">
        <v>0</v>
      </c>
      <c r="H312" s="101">
        <f t="shared" si="94"/>
        <v>0</v>
      </c>
      <c r="I312" s="102">
        <f t="shared" si="95"/>
        <v>0</v>
      </c>
      <c r="K312" s="12"/>
      <c r="L312" s="13"/>
    </row>
    <row r="313" spans="3:12" ht="13.5" x14ac:dyDescent="0.25">
      <c r="C313" s="97" t="s">
        <v>472</v>
      </c>
      <c r="D313" s="98" t="s">
        <v>17</v>
      </c>
      <c r="E313" s="98"/>
      <c r="F313" s="98"/>
      <c r="G313" s="100">
        <v>0</v>
      </c>
      <c r="H313" s="101">
        <f t="shared" si="94"/>
        <v>0</v>
      </c>
      <c r="I313" s="102">
        <f t="shared" si="95"/>
        <v>0</v>
      </c>
      <c r="K313" s="12"/>
      <c r="L313" s="13"/>
    </row>
    <row r="314" spans="3:12" ht="13.5" x14ac:dyDescent="0.25">
      <c r="C314" s="97" t="s">
        <v>473</v>
      </c>
      <c r="D314" s="98" t="s">
        <v>18</v>
      </c>
      <c r="E314" s="98"/>
      <c r="F314" s="98"/>
      <c r="G314" s="100">
        <v>0</v>
      </c>
      <c r="H314" s="101">
        <f t="shared" si="94"/>
        <v>0</v>
      </c>
      <c r="I314" s="102">
        <f t="shared" si="95"/>
        <v>0</v>
      </c>
      <c r="K314" s="12"/>
      <c r="L314" s="13"/>
    </row>
    <row r="315" spans="3:12" ht="13.5" x14ac:dyDescent="0.25">
      <c r="C315" s="97" t="s">
        <v>474</v>
      </c>
      <c r="D315" s="98" t="s">
        <v>19</v>
      </c>
      <c r="E315" s="98"/>
      <c r="F315" s="98"/>
      <c r="G315" s="100">
        <v>0</v>
      </c>
      <c r="H315" s="101">
        <f t="shared" si="94"/>
        <v>0</v>
      </c>
      <c r="I315" s="102">
        <f t="shared" si="95"/>
        <v>0</v>
      </c>
      <c r="K315" s="81"/>
      <c r="L315" s="75"/>
    </row>
    <row r="316" spans="3:12" ht="16" x14ac:dyDescent="0.35">
      <c r="C316" s="68"/>
      <c r="D316" s="29"/>
      <c r="E316" s="29"/>
      <c r="F316" s="29"/>
      <c r="G316" s="53" t="s">
        <v>927</v>
      </c>
      <c r="H316" s="54">
        <f>SUM(H309:H315)</f>
        <v>0</v>
      </c>
      <c r="I316" s="56">
        <f t="shared" si="95"/>
        <v>0</v>
      </c>
      <c r="K316" s="82"/>
      <c r="L316" s="83"/>
    </row>
    <row r="317" spans="3:12" ht="18" thickBot="1" x14ac:dyDescent="0.4">
      <c r="C317" s="66"/>
      <c r="D317" s="50"/>
      <c r="E317" s="50"/>
      <c r="F317" s="31"/>
      <c r="G317" s="50" t="s">
        <v>967</v>
      </c>
      <c r="H317" s="95">
        <f>SUM(H316)</f>
        <v>0</v>
      </c>
      <c r="I317" s="95">
        <f t="shared" si="95"/>
        <v>0</v>
      </c>
      <c r="K317" s="76"/>
      <c r="L317" s="7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46C6-BD9B-4BDE-81E9-6A068FED9328}">
  <sheetPr codeName="Sheet5"/>
  <dimension ref="C3:M320"/>
  <sheetViews>
    <sheetView zoomScale="85" zoomScaleNormal="85" workbookViewId="0">
      <selection activeCell="C70" sqref="C70"/>
    </sheetView>
  </sheetViews>
  <sheetFormatPr defaultRowHeight="12.5" x14ac:dyDescent="0.25"/>
  <cols>
    <col min="3" max="3" width="12.81640625" customWidth="1"/>
    <col min="4" max="4" width="42.26953125" customWidth="1"/>
    <col min="5" max="5" width="23.81640625" customWidth="1"/>
    <col min="6" max="6" width="17.81640625" customWidth="1"/>
    <col min="7" max="7" width="7.453125" customWidth="1"/>
    <col min="8" max="8" width="29.1796875" customWidth="1"/>
    <col min="9" max="9" width="21.7265625" customWidth="1"/>
    <col min="10" max="10" width="17.1796875" customWidth="1"/>
    <col min="11" max="11" width="3.26953125" customWidth="1"/>
    <col min="12" max="12" width="15.1796875" customWidth="1"/>
    <col min="13" max="13" width="20" customWidth="1"/>
  </cols>
  <sheetData>
    <row r="3" spans="3:13" x14ac:dyDescent="0.25">
      <c r="J3" s="28" t="s">
        <v>931</v>
      </c>
    </row>
    <row r="4" spans="3:13" x14ac:dyDescent="0.25">
      <c r="J4">
        <v>0</v>
      </c>
    </row>
    <row r="5" spans="3:13" ht="15.5" thickBot="1" x14ac:dyDescent="0.35">
      <c r="C5" s="61" t="s">
        <v>60</v>
      </c>
      <c r="D5" s="62" t="s">
        <v>20</v>
      </c>
      <c r="E5" s="62" t="s">
        <v>203</v>
      </c>
      <c r="F5" s="62" t="s">
        <v>29</v>
      </c>
      <c r="G5" s="62" t="s">
        <v>30</v>
      </c>
      <c r="H5" s="62" t="s">
        <v>61</v>
      </c>
      <c r="I5" s="62" t="s">
        <v>44</v>
      </c>
      <c r="J5" s="63" t="s">
        <v>932</v>
      </c>
      <c r="L5" s="46" t="s">
        <v>203</v>
      </c>
      <c r="M5" s="46" t="s">
        <v>943</v>
      </c>
    </row>
    <row r="6" spans="3:13" ht="17.5" x14ac:dyDescent="0.35">
      <c r="C6" s="64" t="s">
        <v>789</v>
      </c>
      <c r="D6" s="43"/>
      <c r="E6" s="55"/>
      <c r="F6" s="55"/>
      <c r="G6" s="55"/>
      <c r="H6" s="55"/>
      <c r="I6" s="57"/>
      <c r="J6" s="58"/>
      <c r="L6" s="2"/>
      <c r="M6" s="2"/>
    </row>
    <row r="7" spans="3:13" x14ac:dyDescent="0.25">
      <c r="C7" s="12" t="s">
        <v>158</v>
      </c>
      <c r="D7" s="2" t="s">
        <v>159</v>
      </c>
      <c r="E7" s="34"/>
      <c r="F7" s="17">
        <v>1</v>
      </c>
      <c r="G7" s="2" t="s">
        <v>72</v>
      </c>
      <c r="H7" s="19">
        <v>0</v>
      </c>
      <c r="I7" s="23">
        <f>F7*H7</f>
        <v>0</v>
      </c>
      <c r="J7" s="24">
        <f>IF($J$4=0, 0, I7/$J$4)</f>
        <v>0</v>
      </c>
      <c r="L7" s="2"/>
      <c r="M7" s="2"/>
    </row>
    <row r="8" spans="3:13" x14ac:dyDescent="0.25">
      <c r="C8" s="12" t="s">
        <v>132</v>
      </c>
      <c r="D8" s="2" t="s">
        <v>133</v>
      </c>
      <c r="E8" s="34"/>
      <c r="F8" s="17">
        <v>0</v>
      </c>
      <c r="G8" s="2" t="s">
        <v>72</v>
      </c>
      <c r="H8" s="19">
        <v>0</v>
      </c>
      <c r="I8" s="23">
        <f t="shared" ref="I8:I23" si="0">F8*H8</f>
        <v>0</v>
      </c>
      <c r="J8" s="24">
        <f t="shared" ref="J8:J23" si="1">IF($J$4=0, 0, I8/$J$4)</f>
        <v>0</v>
      </c>
      <c r="L8" s="2"/>
      <c r="M8" s="2"/>
    </row>
    <row r="9" spans="3:13" x14ac:dyDescent="0.25">
      <c r="C9" s="12" t="s">
        <v>160</v>
      </c>
      <c r="D9" s="2" t="s">
        <v>161</v>
      </c>
      <c r="E9" s="34"/>
      <c r="F9" s="17">
        <v>100</v>
      </c>
      <c r="G9" s="2" t="s">
        <v>25</v>
      </c>
      <c r="H9" s="19">
        <v>0</v>
      </c>
      <c r="I9" s="23">
        <f t="shared" si="0"/>
        <v>0</v>
      </c>
      <c r="J9" s="24">
        <f t="shared" si="1"/>
        <v>0</v>
      </c>
      <c r="L9" s="2"/>
      <c r="M9" s="2"/>
    </row>
    <row r="10" spans="3:13" x14ac:dyDescent="0.25">
      <c r="C10" s="12" t="s">
        <v>134</v>
      </c>
      <c r="D10" s="2" t="s">
        <v>135</v>
      </c>
      <c r="E10" s="34"/>
      <c r="F10" s="17">
        <v>1039.2</v>
      </c>
      <c r="G10" s="2" t="s">
        <v>65</v>
      </c>
      <c r="H10" s="19">
        <v>0</v>
      </c>
      <c r="I10" s="23">
        <f t="shared" si="0"/>
        <v>0</v>
      </c>
      <c r="J10" s="24">
        <f t="shared" si="1"/>
        <v>0</v>
      </c>
      <c r="L10" s="2"/>
      <c r="M10" s="2"/>
    </row>
    <row r="11" spans="3:13" x14ac:dyDescent="0.25">
      <c r="C11" s="12" t="s">
        <v>134</v>
      </c>
      <c r="D11" s="2" t="s">
        <v>136</v>
      </c>
      <c r="E11" s="34"/>
      <c r="F11" s="17">
        <v>1558.8000000000002</v>
      </c>
      <c r="G11" s="2" t="s">
        <v>65</v>
      </c>
      <c r="H11" s="19">
        <v>0</v>
      </c>
      <c r="I11" s="23">
        <f t="shared" si="0"/>
        <v>0</v>
      </c>
      <c r="J11" s="24">
        <f t="shared" si="1"/>
        <v>0</v>
      </c>
      <c r="L11" s="2"/>
      <c r="M11" s="2"/>
    </row>
    <row r="12" spans="3:13" x14ac:dyDescent="0.25">
      <c r="C12" s="12" t="s">
        <v>137</v>
      </c>
      <c r="D12" s="2" t="s">
        <v>138</v>
      </c>
      <c r="E12" s="34"/>
      <c r="F12" s="17">
        <v>14</v>
      </c>
      <c r="G12" s="2" t="s">
        <v>91</v>
      </c>
      <c r="H12" s="19">
        <v>0</v>
      </c>
      <c r="I12" s="23">
        <f t="shared" si="0"/>
        <v>0</v>
      </c>
      <c r="J12" s="24">
        <f t="shared" si="1"/>
        <v>0</v>
      </c>
      <c r="L12" s="2"/>
      <c r="M12" s="2"/>
    </row>
    <row r="13" spans="3:13" x14ac:dyDescent="0.25">
      <c r="C13" s="12" t="s">
        <v>139</v>
      </c>
      <c r="D13" s="2" t="s">
        <v>140</v>
      </c>
      <c r="E13" s="34"/>
      <c r="F13" s="17">
        <v>300000</v>
      </c>
      <c r="G13" s="2" t="s">
        <v>27</v>
      </c>
      <c r="H13" s="19">
        <v>0</v>
      </c>
      <c r="I13" s="23">
        <f t="shared" si="0"/>
        <v>0</v>
      </c>
      <c r="J13" s="24">
        <f t="shared" si="1"/>
        <v>0</v>
      </c>
      <c r="L13" s="2"/>
      <c r="M13" s="2"/>
    </row>
    <row r="14" spans="3:13" x14ac:dyDescent="0.25">
      <c r="C14" s="12" t="s">
        <v>141</v>
      </c>
      <c r="D14" s="2" t="s">
        <v>142</v>
      </c>
      <c r="E14" s="34"/>
      <c r="F14" s="17">
        <v>0</v>
      </c>
      <c r="G14" s="2" t="s">
        <v>25</v>
      </c>
      <c r="H14" s="19">
        <v>0</v>
      </c>
      <c r="I14" s="23">
        <f t="shared" si="0"/>
        <v>0</v>
      </c>
      <c r="J14" s="24">
        <f t="shared" si="1"/>
        <v>0</v>
      </c>
      <c r="L14" s="2"/>
      <c r="M14" s="2"/>
    </row>
    <row r="15" spans="3:13" x14ac:dyDescent="0.25">
      <c r="C15" s="12" t="s">
        <v>143</v>
      </c>
      <c r="D15" s="2" t="s">
        <v>144</v>
      </c>
      <c r="E15" s="34"/>
      <c r="F15" s="17">
        <v>0</v>
      </c>
      <c r="G15" s="2" t="s">
        <v>23</v>
      </c>
      <c r="H15" s="19">
        <v>0</v>
      </c>
      <c r="I15" s="23">
        <f t="shared" si="0"/>
        <v>0</v>
      </c>
      <c r="J15" s="24">
        <f t="shared" si="1"/>
        <v>0</v>
      </c>
      <c r="L15" s="2"/>
      <c r="M15" s="2"/>
    </row>
    <row r="16" spans="3:13" x14ac:dyDescent="0.25">
      <c r="C16" s="12" t="s">
        <v>145</v>
      </c>
      <c r="D16" s="2" t="s">
        <v>146</v>
      </c>
      <c r="E16" s="34"/>
      <c r="F16" s="17">
        <v>1200</v>
      </c>
      <c r="G16" s="2" t="s">
        <v>23</v>
      </c>
      <c r="H16" s="19">
        <v>0</v>
      </c>
      <c r="I16" s="23">
        <f t="shared" si="0"/>
        <v>0</v>
      </c>
      <c r="J16" s="24">
        <f t="shared" si="1"/>
        <v>0</v>
      </c>
      <c r="L16" s="2"/>
      <c r="M16" s="2"/>
    </row>
    <row r="17" spans="3:13" x14ac:dyDescent="0.25">
      <c r="C17" s="12" t="s">
        <v>147</v>
      </c>
      <c r="D17" s="2" t="s">
        <v>148</v>
      </c>
      <c r="E17" s="34"/>
      <c r="F17" s="17">
        <v>600</v>
      </c>
      <c r="G17" s="2" t="s">
        <v>23</v>
      </c>
      <c r="H17" s="19">
        <v>0</v>
      </c>
      <c r="I17" s="23">
        <f t="shared" si="0"/>
        <v>0</v>
      </c>
      <c r="J17" s="24">
        <f t="shared" si="1"/>
        <v>0</v>
      </c>
      <c r="L17" s="2"/>
      <c r="M17" s="2"/>
    </row>
    <row r="18" spans="3:13" x14ac:dyDescent="0.25">
      <c r="C18" s="12" t="s">
        <v>149</v>
      </c>
      <c r="D18" s="2" t="s">
        <v>150</v>
      </c>
      <c r="E18" s="34"/>
      <c r="F18" s="17">
        <v>1</v>
      </c>
      <c r="G18" s="2" t="s">
        <v>72</v>
      </c>
      <c r="H18" s="19">
        <v>0</v>
      </c>
      <c r="I18" s="23">
        <f t="shared" si="0"/>
        <v>0</v>
      </c>
      <c r="J18" s="24">
        <f t="shared" si="1"/>
        <v>0</v>
      </c>
      <c r="L18" s="2"/>
      <c r="M18" s="2"/>
    </row>
    <row r="19" spans="3:13" x14ac:dyDescent="0.25">
      <c r="C19" s="12" t="s">
        <v>151</v>
      </c>
      <c r="D19" s="2" t="s">
        <v>152</v>
      </c>
      <c r="E19" s="34"/>
      <c r="F19" s="17">
        <v>6</v>
      </c>
      <c r="G19" s="2" t="s">
        <v>91</v>
      </c>
      <c r="H19" s="19">
        <v>0</v>
      </c>
      <c r="I19" s="23">
        <f t="shared" si="0"/>
        <v>0</v>
      </c>
      <c r="J19" s="24">
        <f t="shared" si="1"/>
        <v>0</v>
      </c>
      <c r="L19" s="2"/>
      <c r="M19" s="2"/>
    </row>
    <row r="20" spans="3:13" x14ac:dyDescent="0.25">
      <c r="C20" s="12" t="s">
        <v>153</v>
      </c>
      <c r="D20" s="2" t="s">
        <v>154</v>
      </c>
      <c r="E20" s="34"/>
      <c r="F20" s="17">
        <v>14</v>
      </c>
      <c r="G20" s="2" t="s">
        <v>91</v>
      </c>
      <c r="H20" s="19">
        <v>0</v>
      </c>
      <c r="I20" s="23">
        <f t="shared" si="0"/>
        <v>0</v>
      </c>
      <c r="J20" s="24">
        <f t="shared" si="1"/>
        <v>0</v>
      </c>
      <c r="L20" s="2"/>
      <c r="M20" s="2"/>
    </row>
    <row r="21" spans="3:13" x14ac:dyDescent="0.25">
      <c r="C21" s="12" t="s">
        <v>155</v>
      </c>
      <c r="D21" s="2" t="s">
        <v>156</v>
      </c>
      <c r="E21" s="34"/>
      <c r="F21" s="17">
        <v>14</v>
      </c>
      <c r="G21" s="2" t="s">
        <v>91</v>
      </c>
      <c r="H21" s="19">
        <v>0</v>
      </c>
      <c r="I21" s="23">
        <f t="shared" si="0"/>
        <v>0</v>
      </c>
      <c r="J21" s="24">
        <f t="shared" si="1"/>
        <v>0</v>
      </c>
      <c r="L21" s="2"/>
      <c r="M21" s="2"/>
    </row>
    <row r="22" spans="3:13" x14ac:dyDescent="0.25">
      <c r="C22" s="12" t="s">
        <v>157</v>
      </c>
      <c r="D22" s="2" t="s">
        <v>549</v>
      </c>
      <c r="E22" s="2"/>
      <c r="F22" s="18">
        <v>1</v>
      </c>
      <c r="G22" s="2" t="s">
        <v>25</v>
      </c>
      <c r="H22" s="19">
        <v>0</v>
      </c>
      <c r="I22" s="23">
        <f t="shared" si="0"/>
        <v>0</v>
      </c>
      <c r="J22" s="24">
        <f t="shared" si="1"/>
        <v>0</v>
      </c>
      <c r="L22" s="2"/>
      <c r="M22" s="2"/>
    </row>
    <row r="23" spans="3:13" x14ac:dyDescent="0.25">
      <c r="C23" s="12" t="s">
        <v>162</v>
      </c>
      <c r="D23" s="2" t="s">
        <v>163</v>
      </c>
      <c r="E23" s="2"/>
      <c r="F23" s="18">
        <v>0</v>
      </c>
      <c r="G23" s="2" t="s">
        <v>25</v>
      </c>
      <c r="H23" s="19">
        <v>0</v>
      </c>
      <c r="I23" s="23">
        <f t="shared" si="0"/>
        <v>0</v>
      </c>
      <c r="J23" s="24">
        <f t="shared" si="1"/>
        <v>0</v>
      </c>
      <c r="L23" s="2"/>
      <c r="M23" s="2"/>
    </row>
    <row r="24" spans="3:13" ht="16.5" thickBot="1" x14ac:dyDescent="0.4">
      <c r="C24" s="65"/>
      <c r="D24" s="53"/>
      <c r="E24" s="53"/>
      <c r="F24" s="53"/>
      <c r="G24" s="53"/>
      <c r="H24" s="53" t="s">
        <v>790</v>
      </c>
      <c r="I24" s="54">
        <f>SUM(I7:I23)</f>
        <v>0</v>
      </c>
      <c r="J24" s="56">
        <f>IF($J$4=0, 0, I23/$J$4)</f>
        <v>0</v>
      </c>
    </row>
    <row r="25" spans="3:13" ht="13" thickBot="1" x14ac:dyDescent="0.3">
      <c r="C25" s="12" t="s">
        <v>164</v>
      </c>
      <c r="D25" s="2" t="s">
        <v>165</v>
      </c>
      <c r="E25" s="2"/>
      <c r="F25" s="18">
        <v>1</v>
      </c>
      <c r="G25" s="2" t="s">
        <v>72</v>
      </c>
      <c r="H25" s="19">
        <v>0</v>
      </c>
      <c r="I25" s="23">
        <f t="shared" ref="I25:I47" si="2">F25*H25</f>
        <v>0</v>
      </c>
      <c r="J25" s="24">
        <f t="shared" ref="J25:J49" si="3">IF($J$4=0, 0, I25/$J$4)</f>
        <v>0</v>
      </c>
      <c r="L25" s="37"/>
      <c r="M25" s="38"/>
    </row>
    <row r="26" spans="3:13" ht="16.5" thickBot="1" x14ac:dyDescent="0.4">
      <c r="C26" s="65"/>
      <c r="D26" s="53"/>
      <c r="E26" s="53"/>
      <c r="F26" s="53"/>
      <c r="G26" s="53"/>
      <c r="H26" s="53" t="s">
        <v>791</v>
      </c>
      <c r="I26" s="54">
        <f>SUM(I25)</f>
        <v>0</v>
      </c>
      <c r="J26" s="56">
        <f t="shared" si="3"/>
        <v>0</v>
      </c>
    </row>
    <row r="27" spans="3:13" x14ac:dyDescent="0.25">
      <c r="C27" s="12" t="s">
        <v>166</v>
      </c>
      <c r="D27" s="2" t="s">
        <v>167</v>
      </c>
      <c r="E27" s="2"/>
      <c r="F27" s="18">
        <v>0</v>
      </c>
      <c r="G27" s="2" t="s">
        <v>72</v>
      </c>
      <c r="H27" s="19">
        <v>0</v>
      </c>
      <c r="I27" s="23">
        <f t="shared" si="2"/>
        <v>0</v>
      </c>
      <c r="J27" s="24">
        <f t="shared" si="3"/>
        <v>0</v>
      </c>
      <c r="L27" s="39"/>
      <c r="M27" s="40"/>
    </row>
    <row r="28" spans="3:13" x14ac:dyDescent="0.25">
      <c r="C28" s="12" t="s">
        <v>168</v>
      </c>
      <c r="D28" s="2" t="s">
        <v>169</v>
      </c>
      <c r="E28" s="2"/>
      <c r="F28" s="18">
        <v>0</v>
      </c>
      <c r="G28" s="2" t="s">
        <v>25</v>
      </c>
      <c r="H28" s="19">
        <v>0</v>
      </c>
      <c r="I28" s="23">
        <f t="shared" si="2"/>
        <v>0</v>
      </c>
      <c r="J28" s="24">
        <f t="shared" si="3"/>
        <v>0</v>
      </c>
      <c r="L28" s="12"/>
      <c r="M28" s="13"/>
    </row>
    <row r="29" spans="3:13" x14ac:dyDescent="0.25">
      <c r="C29" s="12" t="s">
        <v>170</v>
      </c>
      <c r="D29" s="2" t="s">
        <v>171</v>
      </c>
      <c r="E29" s="2"/>
      <c r="F29" s="18">
        <v>1</v>
      </c>
      <c r="G29" s="2" t="s">
        <v>72</v>
      </c>
      <c r="H29" s="19">
        <v>0</v>
      </c>
      <c r="I29" s="23">
        <f t="shared" si="2"/>
        <v>0</v>
      </c>
      <c r="J29" s="24">
        <f t="shared" si="3"/>
        <v>0</v>
      </c>
      <c r="L29" s="12"/>
      <c r="M29" s="13"/>
    </row>
    <row r="30" spans="3:13" x14ac:dyDescent="0.25">
      <c r="C30" s="12" t="s">
        <v>172</v>
      </c>
      <c r="D30" s="2" t="s">
        <v>173</v>
      </c>
      <c r="E30" s="2"/>
      <c r="F30" s="18">
        <v>1</v>
      </c>
      <c r="G30" s="2" t="s">
        <v>72</v>
      </c>
      <c r="H30" s="19">
        <v>0</v>
      </c>
      <c r="I30" s="23">
        <f t="shared" si="2"/>
        <v>0</v>
      </c>
      <c r="J30" s="24">
        <f t="shared" si="3"/>
        <v>0</v>
      </c>
      <c r="L30" s="12"/>
      <c r="M30" s="13"/>
    </row>
    <row r="31" spans="3:13" x14ac:dyDescent="0.25">
      <c r="C31" s="12" t="s">
        <v>174</v>
      </c>
      <c r="D31" s="2" t="s">
        <v>175</v>
      </c>
      <c r="E31" s="2"/>
      <c r="F31" s="18">
        <v>0</v>
      </c>
      <c r="G31" s="2" t="s">
        <v>72</v>
      </c>
      <c r="H31" s="19">
        <v>0</v>
      </c>
      <c r="I31" s="23">
        <f t="shared" si="2"/>
        <v>0</v>
      </c>
      <c r="J31" s="24">
        <f t="shared" si="3"/>
        <v>0</v>
      </c>
      <c r="L31" s="12"/>
      <c r="M31" s="13"/>
    </row>
    <row r="32" spans="3:13" x14ac:dyDescent="0.25">
      <c r="C32" s="12" t="s">
        <v>176</v>
      </c>
      <c r="D32" s="2" t="s">
        <v>177</v>
      </c>
      <c r="E32" s="2"/>
      <c r="F32" s="18">
        <v>0</v>
      </c>
      <c r="G32" s="2" t="s">
        <v>72</v>
      </c>
      <c r="H32" s="19">
        <v>0</v>
      </c>
      <c r="I32" s="23">
        <f t="shared" si="2"/>
        <v>0</v>
      </c>
      <c r="J32" s="24">
        <f t="shared" si="3"/>
        <v>0</v>
      </c>
      <c r="L32" s="12"/>
      <c r="M32" s="13"/>
    </row>
    <row r="33" spans="3:13" ht="13" thickBot="1" x14ac:dyDescent="0.3">
      <c r="C33" s="12" t="s">
        <v>178</v>
      </c>
      <c r="D33" s="2" t="s">
        <v>179</v>
      </c>
      <c r="E33" s="2"/>
      <c r="F33" s="18">
        <v>0</v>
      </c>
      <c r="G33" s="2" t="s">
        <v>72</v>
      </c>
      <c r="H33" s="19">
        <v>0</v>
      </c>
      <c r="I33" s="23">
        <f t="shared" si="2"/>
        <v>0</v>
      </c>
      <c r="J33" s="24">
        <f t="shared" si="3"/>
        <v>0</v>
      </c>
      <c r="L33" s="41"/>
      <c r="M33" s="42"/>
    </row>
    <row r="34" spans="3:13" ht="16.5" thickBot="1" x14ac:dyDescent="0.4">
      <c r="C34" s="65"/>
      <c r="D34" s="53"/>
      <c r="E34" s="53"/>
      <c r="F34" s="53"/>
      <c r="G34" s="53"/>
      <c r="H34" s="53" t="s">
        <v>792</v>
      </c>
      <c r="I34" s="54">
        <f>SUM(I27:I33)</f>
        <v>0</v>
      </c>
      <c r="J34" s="56">
        <f t="shared" si="3"/>
        <v>0</v>
      </c>
    </row>
    <row r="35" spans="3:13" x14ac:dyDescent="0.25">
      <c r="C35" s="12" t="s">
        <v>180</v>
      </c>
      <c r="D35" s="2" t="s">
        <v>181</v>
      </c>
      <c r="E35" s="2"/>
      <c r="F35" s="18">
        <v>10</v>
      </c>
      <c r="G35" s="2" t="s">
        <v>91</v>
      </c>
      <c r="H35" s="19">
        <v>0</v>
      </c>
      <c r="I35" s="23">
        <f t="shared" si="2"/>
        <v>0</v>
      </c>
      <c r="J35" s="24">
        <f t="shared" si="3"/>
        <v>0</v>
      </c>
      <c r="L35" s="39"/>
      <c r="M35" s="40"/>
    </row>
    <row r="36" spans="3:13" x14ac:dyDescent="0.25">
      <c r="C36" s="12" t="s">
        <v>182</v>
      </c>
      <c r="D36" s="2" t="s">
        <v>183</v>
      </c>
      <c r="E36" s="2"/>
      <c r="F36" s="18">
        <v>0</v>
      </c>
      <c r="G36" s="2" t="s">
        <v>91</v>
      </c>
      <c r="H36" s="19">
        <v>0</v>
      </c>
      <c r="I36" s="23">
        <f t="shared" si="2"/>
        <v>0</v>
      </c>
      <c r="J36" s="24">
        <f t="shared" si="3"/>
        <v>0</v>
      </c>
      <c r="L36" s="12"/>
      <c r="M36" s="13"/>
    </row>
    <row r="37" spans="3:13" x14ac:dyDescent="0.25">
      <c r="C37" s="12" t="s">
        <v>184</v>
      </c>
      <c r="D37" s="2" t="s">
        <v>185</v>
      </c>
      <c r="E37" s="2"/>
      <c r="F37" s="18">
        <v>0</v>
      </c>
      <c r="G37" s="2" t="s">
        <v>91</v>
      </c>
      <c r="H37" s="19">
        <v>0</v>
      </c>
      <c r="I37" s="23">
        <f t="shared" si="2"/>
        <v>0</v>
      </c>
      <c r="J37" s="24">
        <f t="shared" si="3"/>
        <v>0</v>
      </c>
      <c r="L37" s="12"/>
      <c r="M37" s="13"/>
    </row>
    <row r="38" spans="3:13" x14ac:dyDescent="0.25">
      <c r="C38" s="12" t="s">
        <v>186</v>
      </c>
      <c r="D38" s="2" t="s">
        <v>187</v>
      </c>
      <c r="E38" s="2"/>
      <c r="F38" s="18">
        <v>14</v>
      </c>
      <c r="G38" s="2" t="s">
        <v>91</v>
      </c>
      <c r="H38" s="19">
        <v>0</v>
      </c>
      <c r="I38" s="23">
        <f t="shared" si="2"/>
        <v>0</v>
      </c>
      <c r="J38" s="24">
        <f t="shared" si="3"/>
        <v>0</v>
      </c>
      <c r="L38" s="12"/>
      <c r="M38" s="13"/>
    </row>
    <row r="39" spans="3:13" x14ac:dyDescent="0.25">
      <c r="C39" s="12" t="s">
        <v>188</v>
      </c>
      <c r="D39" s="2" t="s">
        <v>189</v>
      </c>
      <c r="E39" s="2"/>
      <c r="F39" s="18">
        <v>12</v>
      </c>
      <c r="G39" s="2" t="s">
        <v>91</v>
      </c>
      <c r="H39" s="19">
        <v>0</v>
      </c>
      <c r="I39" s="23">
        <f t="shared" si="2"/>
        <v>0</v>
      </c>
      <c r="J39" s="24">
        <f t="shared" si="3"/>
        <v>0</v>
      </c>
      <c r="L39" s="12"/>
      <c r="M39" s="13"/>
    </row>
    <row r="40" spans="3:13" ht="13" thickBot="1" x14ac:dyDescent="0.3">
      <c r="C40" s="12" t="s">
        <v>190</v>
      </c>
      <c r="D40" s="2" t="s">
        <v>191</v>
      </c>
      <c r="E40" s="2"/>
      <c r="F40" s="18">
        <v>12</v>
      </c>
      <c r="G40" s="2" t="s">
        <v>91</v>
      </c>
      <c r="H40" s="19">
        <v>0</v>
      </c>
      <c r="I40" s="23">
        <f t="shared" si="2"/>
        <v>0</v>
      </c>
      <c r="J40" s="24">
        <f t="shared" si="3"/>
        <v>0</v>
      </c>
      <c r="L40" s="41"/>
      <c r="M40" s="42"/>
    </row>
    <row r="41" spans="3:13" ht="16.5" thickBot="1" x14ac:dyDescent="0.4">
      <c r="C41" s="65"/>
      <c r="D41" s="53"/>
      <c r="E41" s="53"/>
      <c r="F41" s="53"/>
      <c r="G41" s="53"/>
      <c r="H41" s="53" t="s">
        <v>793</v>
      </c>
      <c r="I41" s="54">
        <f>SUM(I35:I40)</f>
        <v>0</v>
      </c>
      <c r="J41" s="56">
        <f t="shared" si="3"/>
        <v>0</v>
      </c>
      <c r="L41" s="26"/>
      <c r="M41" s="25"/>
    </row>
    <row r="42" spans="3:13" x14ac:dyDescent="0.25">
      <c r="C42" s="12" t="s">
        <v>192</v>
      </c>
      <c r="D42" s="2" t="s">
        <v>566</v>
      </c>
      <c r="E42" s="2"/>
      <c r="F42" s="18">
        <v>0</v>
      </c>
      <c r="G42" s="2" t="s">
        <v>72</v>
      </c>
      <c r="H42" s="19">
        <v>0</v>
      </c>
      <c r="I42" s="22">
        <f t="shared" si="2"/>
        <v>0</v>
      </c>
      <c r="J42" s="24">
        <f t="shared" si="3"/>
        <v>0</v>
      </c>
      <c r="L42" s="39"/>
      <c r="M42" s="40"/>
    </row>
    <row r="43" spans="3:13" x14ac:dyDescent="0.25">
      <c r="C43" s="12" t="s">
        <v>193</v>
      </c>
      <c r="D43" s="2" t="s">
        <v>194</v>
      </c>
      <c r="E43" s="2"/>
      <c r="F43" s="18">
        <v>0</v>
      </c>
      <c r="G43" s="2" t="s">
        <v>72</v>
      </c>
      <c r="H43" s="19">
        <v>0</v>
      </c>
      <c r="I43" s="22">
        <f t="shared" si="2"/>
        <v>0</v>
      </c>
      <c r="J43" s="24">
        <f t="shared" si="3"/>
        <v>0</v>
      </c>
      <c r="L43" s="12"/>
      <c r="M43" s="13"/>
    </row>
    <row r="44" spans="3:13" x14ac:dyDescent="0.25">
      <c r="C44" s="12" t="s">
        <v>195</v>
      </c>
      <c r="D44" s="2" t="s">
        <v>196</v>
      </c>
      <c r="E44" s="2"/>
      <c r="F44" s="18">
        <v>0</v>
      </c>
      <c r="G44" s="2" t="s">
        <v>72</v>
      </c>
      <c r="H44" s="19">
        <v>0</v>
      </c>
      <c r="I44" s="22">
        <f t="shared" si="2"/>
        <v>0</v>
      </c>
      <c r="J44" s="24">
        <f t="shared" si="3"/>
        <v>0</v>
      </c>
      <c r="L44" s="12"/>
      <c r="M44" s="13"/>
    </row>
    <row r="45" spans="3:13" x14ac:dyDescent="0.25">
      <c r="C45" s="12" t="s">
        <v>197</v>
      </c>
      <c r="D45" s="2" t="s">
        <v>198</v>
      </c>
      <c r="E45" s="2"/>
      <c r="F45" s="18">
        <v>1</v>
      </c>
      <c r="G45" s="2" t="s">
        <v>72</v>
      </c>
      <c r="H45" s="19">
        <v>0</v>
      </c>
      <c r="I45" s="22">
        <f t="shared" si="2"/>
        <v>0</v>
      </c>
      <c r="J45" s="24">
        <f t="shared" si="3"/>
        <v>0</v>
      </c>
      <c r="L45" s="12"/>
      <c r="M45" s="13"/>
    </row>
    <row r="46" spans="3:13" x14ac:dyDescent="0.25">
      <c r="C46" s="12" t="s">
        <v>199</v>
      </c>
      <c r="D46" s="2" t="s">
        <v>200</v>
      </c>
      <c r="E46" s="2"/>
      <c r="F46" s="18">
        <v>0</v>
      </c>
      <c r="G46" s="2" t="s">
        <v>72</v>
      </c>
      <c r="H46" s="19">
        <v>0</v>
      </c>
      <c r="I46" s="22">
        <f t="shared" si="2"/>
        <v>0</v>
      </c>
      <c r="J46" s="24">
        <f t="shared" si="3"/>
        <v>0</v>
      </c>
      <c r="L46" s="12"/>
      <c r="M46" s="13"/>
    </row>
    <row r="47" spans="3:13" ht="13" thickBot="1" x14ac:dyDescent="0.3">
      <c r="C47" s="12" t="s">
        <v>201</v>
      </c>
      <c r="D47" s="2" t="s">
        <v>202</v>
      </c>
      <c r="E47" s="2"/>
      <c r="F47" s="18">
        <v>0</v>
      </c>
      <c r="G47" s="2" t="s">
        <v>72</v>
      </c>
      <c r="H47" s="19">
        <v>0</v>
      </c>
      <c r="I47" s="22">
        <f t="shared" si="2"/>
        <v>0</v>
      </c>
      <c r="J47" s="24">
        <f t="shared" si="3"/>
        <v>0</v>
      </c>
      <c r="L47" s="41"/>
      <c r="M47" s="42"/>
    </row>
    <row r="48" spans="3:13" ht="16" x14ac:dyDescent="0.35">
      <c r="C48" s="65"/>
      <c r="D48" s="53"/>
      <c r="E48" s="53"/>
      <c r="F48" s="53"/>
      <c r="G48" s="53"/>
      <c r="H48" s="52" t="s">
        <v>794</v>
      </c>
      <c r="I48" s="54">
        <f>SUM(I42:I47)</f>
        <v>0</v>
      </c>
      <c r="J48" s="56">
        <f t="shared" si="3"/>
        <v>0</v>
      </c>
      <c r="L48" s="26"/>
      <c r="M48" s="25"/>
    </row>
    <row r="49" spans="3:13" ht="18" thickBot="1" x14ac:dyDescent="0.4">
      <c r="C49" s="66"/>
      <c r="D49" s="50"/>
      <c r="E49" s="50"/>
      <c r="F49" s="50"/>
      <c r="G49" s="31"/>
      <c r="H49" s="50" t="s">
        <v>968</v>
      </c>
      <c r="I49" s="72"/>
      <c r="J49" s="51">
        <f t="shared" si="3"/>
        <v>0</v>
      </c>
      <c r="L49" s="27"/>
      <c r="M49" s="16"/>
    </row>
    <row r="50" spans="3:13" ht="18" thickBot="1" x14ac:dyDescent="0.4">
      <c r="C50" s="64" t="s">
        <v>796</v>
      </c>
      <c r="D50" s="43"/>
      <c r="E50" s="43"/>
      <c r="F50" s="43"/>
      <c r="G50" s="43"/>
      <c r="H50" s="43"/>
      <c r="I50" s="44"/>
      <c r="J50" s="45"/>
      <c r="L50" s="44"/>
      <c r="M50" s="45"/>
    </row>
    <row r="51" spans="3:13" x14ac:dyDescent="0.25">
      <c r="C51" s="12" t="s">
        <v>21</v>
      </c>
      <c r="D51" s="2" t="s">
        <v>206</v>
      </c>
      <c r="E51" s="2"/>
      <c r="F51" s="2">
        <v>1</v>
      </c>
      <c r="G51" s="2" t="s">
        <v>72</v>
      </c>
      <c r="H51" s="2"/>
      <c r="I51" s="2"/>
      <c r="J51" s="13"/>
      <c r="L51" s="39"/>
      <c r="M51" s="40"/>
    </row>
    <row r="52" spans="3:13" x14ac:dyDescent="0.25">
      <c r="C52" s="12" t="s">
        <v>21</v>
      </c>
      <c r="D52" s="2" t="s">
        <v>22</v>
      </c>
      <c r="E52" s="2"/>
      <c r="F52" s="2">
        <v>2050</v>
      </c>
      <c r="G52" s="2" t="s">
        <v>23</v>
      </c>
      <c r="H52" s="2"/>
      <c r="I52" s="2"/>
      <c r="J52" s="13"/>
      <c r="L52" s="12"/>
      <c r="M52" s="13"/>
    </row>
    <row r="53" spans="3:13" x14ac:dyDescent="0.25">
      <c r="C53" s="12" t="s">
        <v>21</v>
      </c>
      <c r="D53" s="2" t="s">
        <v>24</v>
      </c>
      <c r="E53" s="2"/>
      <c r="F53" s="2">
        <v>96</v>
      </c>
      <c r="G53" s="2" t="s">
        <v>25</v>
      </c>
      <c r="H53" s="2"/>
      <c r="I53" s="2"/>
      <c r="J53" s="13"/>
      <c r="L53" s="12"/>
      <c r="M53" s="13"/>
    </row>
    <row r="54" spans="3:13" x14ac:dyDescent="0.25">
      <c r="C54" s="12" t="s">
        <v>21</v>
      </c>
      <c r="D54" s="2" t="s">
        <v>26</v>
      </c>
      <c r="E54" s="2"/>
      <c r="F54" s="2">
        <v>18000</v>
      </c>
      <c r="G54" s="2" t="s">
        <v>27</v>
      </c>
      <c r="H54" s="2"/>
      <c r="I54" s="2"/>
      <c r="J54" s="13"/>
      <c r="L54" s="12"/>
      <c r="M54" s="13"/>
    </row>
    <row r="55" spans="3:13" x14ac:dyDescent="0.25">
      <c r="C55" s="12" t="s">
        <v>21</v>
      </c>
      <c r="D55" s="2" t="s">
        <v>28</v>
      </c>
      <c r="E55" s="2"/>
      <c r="F55" s="2">
        <v>60000</v>
      </c>
      <c r="G55" s="2" t="s">
        <v>27</v>
      </c>
      <c r="H55" s="2"/>
      <c r="I55" s="2"/>
      <c r="J55" s="13"/>
      <c r="L55" s="12"/>
      <c r="M55" s="13"/>
    </row>
    <row r="56" spans="3:13" x14ac:dyDescent="0.25">
      <c r="C56" s="12" t="s">
        <v>21</v>
      </c>
      <c r="D56" s="2" t="s">
        <v>208</v>
      </c>
      <c r="E56" s="2"/>
      <c r="F56" s="2">
        <v>704</v>
      </c>
      <c r="G56" s="2" t="s">
        <v>27</v>
      </c>
      <c r="H56" s="2"/>
      <c r="I56" s="2"/>
      <c r="J56" s="13"/>
      <c r="L56" s="12"/>
      <c r="M56" s="13"/>
    </row>
    <row r="57" spans="3:13" x14ac:dyDescent="0.25">
      <c r="C57" s="12" t="s">
        <v>21</v>
      </c>
      <c r="D57" s="2" t="s">
        <v>209</v>
      </c>
      <c r="E57" s="2"/>
      <c r="F57" s="2">
        <v>1</v>
      </c>
      <c r="G57" s="2" t="s">
        <v>27</v>
      </c>
      <c r="H57" s="2"/>
      <c r="I57" s="2"/>
      <c r="J57" s="13"/>
      <c r="L57" s="12"/>
      <c r="M57" s="13"/>
    </row>
    <row r="58" spans="3:13" x14ac:dyDescent="0.25">
      <c r="C58" s="12" t="s">
        <v>21</v>
      </c>
      <c r="D58" s="2" t="s">
        <v>210</v>
      </c>
      <c r="E58" s="2"/>
      <c r="F58" s="2">
        <v>1</v>
      </c>
      <c r="G58" s="2" t="s">
        <v>27</v>
      </c>
      <c r="H58" s="2"/>
      <c r="I58" s="2"/>
      <c r="J58" s="13"/>
      <c r="L58" s="12"/>
      <c r="M58" s="13"/>
    </row>
    <row r="59" spans="3:13" ht="13" thickBot="1" x14ac:dyDescent="0.3">
      <c r="C59" s="12" t="s">
        <v>21</v>
      </c>
      <c r="D59" s="2" t="s">
        <v>250</v>
      </c>
      <c r="E59" s="2"/>
      <c r="F59" s="2">
        <v>10</v>
      </c>
      <c r="G59" s="2" t="s">
        <v>27</v>
      </c>
      <c r="H59" s="2"/>
      <c r="I59" s="2"/>
      <c r="J59" s="13"/>
      <c r="L59" s="41"/>
      <c r="M59" s="42"/>
    </row>
    <row r="60" spans="3:13" ht="16.5" thickBot="1" x14ac:dyDescent="0.4">
      <c r="C60" s="67"/>
      <c r="D60" s="33"/>
      <c r="E60" s="33"/>
      <c r="F60" s="33"/>
      <c r="G60" s="33"/>
      <c r="H60" s="53" t="s">
        <v>797</v>
      </c>
      <c r="I60" s="54"/>
      <c r="J60" s="25"/>
    </row>
    <row r="61" spans="3:13" ht="13" thickBot="1" x14ac:dyDescent="0.3">
      <c r="C61" s="12" t="s">
        <v>211</v>
      </c>
      <c r="D61" s="2" t="s">
        <v>212</v>
      </c>
      <c r="E61" s="2"/>
      <c r="F61" s="2">
        <v>0</v>
      </c>
      <c r="G61" s="2" t="s">
        <v>27</v>
      </c>
      <c r="H61" s="2"/>
      <c r="I61" s="2"/>
      <c r="J61" s="13"/>
      <c r="L61" s="37"/>
      <c r="M61" s="38"/>
    </row>
    <row r="62" spans="3:13" ht="16.5" thickBot="1" x14ac:dyDescent="0.4">
      <c r="C62" s="68"/>
      <c r="D62" s="29"/>
      <c r="E62" s="29"/>
      <c r="F62" s="29"/>
      <c r="G62" s="29"/>
      <c r="H62" s="53" t="s">
        <v>798</v>
      </c>
      <c r="I62" s="54"/>
      <c r="J62" s="15"/>
    </row>
    <row r="63" spans="3:13" x14ac:dyDescent="0.25">
      <c r="C63" s="12" t="s">
        <v>31</v>
      </c>
      <c r="D63" s="2" t="s">
        <v>32</v>
      </c>
      <c r="E63" s="2"/>
      <c r="F63" s="2">
        <v>120000</v>
      </c>
      <c r="G63" s="2" t="s">
        <v>27</v>
      </c>
      <c r="H63" s="2"/>
      <c r="I63" s="2"/>
      <c r="J63" s="13"/>
      <c r="L63" s="39"/>
      <c r="M63" s="40"/>
    </row>
    <row r="64" spans="3:13" ht="13" thickBot="1" x14ac:dyDescent="0.3">
      <c r="C64" s="12" t="s">
        <v>213</v>
      </c>
      <c r="D64" s="2" t="s">
        <v>214</v>
      </c>
      <c r="E64" s="2"/>
      <c r="F64" s="2">
        <v>0</v>
      </c>
      <c r="G64" s="2" t="s">
        <v>27</v>
      </c>
      <c r="H64" s="2"/>
      <c r="I64" s="2"/>
      <c r="J64" s="13"/>
      <c r="L64" s="41"/>
      <c r="M64" s="42"/>
    </row>
    <row r="65" spans="3:13" ht="16.5" thickBot="1" x14ac:dyDescent="0.4">
      <c r="C65" s="69"/>
      <c r="D65" s="30"/>
      <c r="E65" s="30"/>
      <c r="F65" s="30"/>
      <c r="G65" s="30"/>
      <c r="H65" s="53" t="s">
        <v>799</v>
      </c>
      <c r="I65" s="54"/>
      <c r="J65" s="15"/>
    </row>
    <row r="66" spans="3:13" x14ac:dyDescent="0.25">
      <c r="C66" s="12" t="s">
        <v>33</v>
      </c>
      <c r="D66" s="2" t="s">
        <v>34</v>
      </c>
      <c r="E66" s="2"/>
      <c r="F66" s="2">
        <v>300000</v>
      </c>
      <c r="G66" s="2" t="s">
        <v>27</v>
      </c>
      <c r="H66" s="2"/>
      <c r="I66" s="2"/>
      <c r="J66" s="13"/>
      <c r="L66" s="39"/>
      <c r="M66" s="40"/>
    </row>
    <row r="67" spans="3:13" ht="13" thickBot="1" x14ac:dyDescent="0.3">
      <c r="C67" s="12" t="s">
        <v>33</v>
      </c>
      <c r="D67" s="2" t="s">
        <v>215</v>
      </c>
      <c r="E67" s="2"/>
      <c r="F67" s="2">
        <v>0</v>
      </c>
      <c r="G67" s="2" t="s">
        <v>27</v>
      </c>
      <c r="H67" s="2"/>
      <c r="I67" s="2"/>
      <c r="J67" s="13"/>
      <c r="L67" s="41"/>
      <c r="M67" s="42"/>
    </row>
    <row r="68" spans="3:13" ht="16" x14ac:dyDescent="0.35">
      <c r="C68" s="68"/>
      <c r="D68" s="29"/>
      <c r="E68" s="29"/>
      <c r="F68" s="29"/>
      <c r="G68" s="29"/>
      <c r="H68" s="53" t="s">
        <v>800</v>
      </c>
      <c r="I68" s="54"/>
      <c r="J68" s="15"/>
      <c r="L68" s="14"/>
      <c r="M68" s="15"/>
    </row>
    <row r="69" spans="3:13" ht="18" thickBot="1" x14ac:dyDescent="0.4">
      <c r="C69" s="70"/>
      <c r="D69" s="31"/>
      <c r="E69" s="31"/>
      <c r="F69" s="31"/>
      <c r="G69" s="31"/>
      <c r="H69" s="50" t="s">
        <v>945</v>
      </c>
      <c r="I69" s="72"/>
      <c r="J69" s="21"/>
      <c r="L69" s="20"/>
      <c r="M69" s="21"/>
    </row>
    <row r="70" spans="3:13" ht="18" thickBot="1" x14ac:dyDescent="0.4">
      <c r="C70" s="64" t="s">
        <v>802</v>
      </c>
      <c r="D70" s="43"/>
      <c r="E70" s="43"/>
      <c r="F70" s="43"/>
      <c r="G70" s="43"/>
      <c r="H70" s="43"/>
      <c r="I70" s="44"/>
      <c r="J70" s="45"/>
      <c r="L70" s="44"/>
      <c r="M70" s="45"/>
    </row>
    <row r="71" spans="3:13" x14ac:dyDescent="0.25">
      <c r="C71" s="12" t="s">
        <v>35</v>
      </c>
      <c r="D71" s="2" t="s">
        <v>803</v>
      </c>
      <c r="E71" s="2"/>
      <c r="F71" s="2">
        <v>30000</v>
      </c>
      <c r="G71" s="2" t="s">
        <v>27</v>
      </c>
      <c r="H71" s="2"/>
      <c r="I71" s="2"/>
      <c r="J71" s="13"/>
      <c r="L71" s="39"/>
      <c r="M71" s="40"/>
    </row>
    <row r="72" spans="3:13" x14ac:dyDescent="0.25">
      <c r="C72" s="12" t="s">
        <v>35</v>
      </c>
      <c r="D72" s="2" t="s">
        <v>804</v>
      </c>
      <c r="E72" s="2"/>
      <c r="F72" s="2">
        <v>0</v>
      </c>
      <c r="G72" s="2" t="s">
        <v>27</v>
      </c>
      <c r="H72" s="2"/>
      <c r="I72" s="2"/>
      <c r="J72" s="13"/>
      <c r="L72" s="12"/>
      <c r="M72" s="13"/>
    </row>
    <row r="73" spans="3:13" ht="13" thickBot="1" x14ac:dyDescent="0.3">
      <c r="C73" s="12" t="s">
        <v>35</v>
      </c>
      <c r="D73" s="2" t="s">
        <v>36</v>
      </c>
      <c r="E73" s="2"/>
      <c r="F73" s="2">
        <v>33075</v>
      </c>
      <c r="G73" s="2" t="s">
        <v>27</v>
      </c>
      <c r="H73" s="2"/>
      <c r="I73" s="2"/>
      <c r="J73" s="13"/>
      <c r="L73" s="41"/>
      <c r="M73" s="42"/>
    </row>
    <row r="74" spans="3:13" ht="16" x14ac:dyDescent="0.35">
      <c r="C74" s="68"/>
      <c r="D74" s="29"/>
      <c r="E74" s="29"/>
      <c r="F74" s="29"/>
      <c r="G74" s="29"/>
      <c r="H74" s="53" t="s">
        <v>805</v>
      </c>
      <c r="I74" s="54"/>
      <c r="J74" s="15"/>
    </row>
    <row r="75" spans="3:13" ht="14.5" thickBot="1" x14ac:dyDescent="0.35">
      <c r="C75" s="70"/>
      <c r="D75" s="31"/>
      <c r="E75" s="31"/>
      <c r="F75" s="31"/>
      <c r="G75" s="31"/>
      <c r="H75" s="32"/>
      <c r="I75" s="20"/>
      <c r="J75" s="21"/>
    </row>
    <row r="76" spans="3:13" ht="17.5" x14ac:dyDescent="0.35">
      <c r="C76" s="64" t="s">
        <v>807</v>
      </c>
      <c r="D76" s="43"/>
      <c r="E76" s="43"/>
      <c r="F76" s="43"/>
      <c r="G76" s="43"/>
      <c r="H76" s="43"/>
      <c r="I76" s="44"/>
      <c r="J76" s="45"/>
    </row>
    <row r="77" spans="3:13" x14ac:dyDescent="0.25">
      <c r="C77" s="12" t="s">
        <v>217</v>
      </c>
      <c r="D77" s="2" t="s">
        <v>218</v>
      </c>
      <c r="E77" s="2"/>
      <c r="F77" s="2">
        <v>1</v>
      </c>
      <c r="G77" s="2" t="s">
        <v>72</v>
      </c>
      <c r="H77" s="2"/>
      <c r="I77" s="2"/>
      <c r="J77" s="13"/>
    </row>
    <row r="78" spans="3:13" x14ac:dyDescent="0.25">
      <c r="C78" s="12" t="s">
        <v>219</v>
      </c>
      <c r="D78" s="2" t="s">
        <v>220</v>
      </c>
      <c r="E78" s="2"/>
      <c r="F78" s="2">
        <v>1</v>
      </c>
      <c r="G78" s="2" t="s">
        <v>72</v>
      </c>
      <c r="H78" s="2"/>
      <c r="I78" s="2"/>
      <c r="J78" s="13"/>
    </row>
    <row r="79" spans="3:13" x14ac:dyDescent="0.25">
      <c r="C79" s="12" t="s">
        <v>221</v>
      </c>
      <c r="D79" s="2" t="s">
        <v>222</v>
      </c>
      <c r="E79" s="2"/>
      <c r="F79" s="2">
        <v>150</v>
      </c>
      <c r="G79" s="2" t="s">
        <v>25</v>
      </c>
      <c r="H79" s="2"/>
      <c r="I79" s="2"/>
      <c r="J79" s="13"/>
    </row>
    <row r="80" spans="3:13" x14ac:dyDescent="0.25">
      <c r="C80" s="12" t="s">
        <v>221</v>
      </c>
      <c r="D80" s="2" t="s">
        <v>223</v>
      </c>
      <c r="E80" s="2"/>
      <c r="F80" s="2">
        <v>5</v>
      </c>
      <c r="G80" s="2" t="s">
        <v>25</v>
      </c>
      <c r="H80" s="2"/>
      <c r="I80" s="2"/>
      <c r="J80" s="13"/>
    </row>
    <row r="81" spans="3:10" x14ac:dyDescent="0.25">
      <c r="C81" s="12" t="s">
        <v>221</v>
      </c>
      <c r="D81" s="2" t="s">
        <v>808</v>
      </c>
      <c r="E81" s="2"/>
      <c r="F81" s="2">
        <v>5</v>
      </c>
      <c r="G81" s="2" t="s">
        <v>25</v>
      </c>
      <c r="H81" s="2"/>
      <c r="I81" s="2"/>
      <c r="J81" s="13"/>
    </row>
    <row r="82" spans="3:10" x14ac:dyDescent="0.25">
      <c r="C82" s="12" t="s">
        <v>221</v>
      </c>
      <c r="D82" s="2" t="s">
        <v>224</v>
      </c>
      <c r="E82" s="2"/>
      <c r="F82" s="2">
        <v>15</v>
      </c>
      <c r="G82" s="2" t="s">
        <v>23</v>
      </c>
      <c r="H82" s="2"/>
      <c r="I82" s="2"/>
      <c r="J82" s="13"/>
    </row>
    <row r="83" spans="3:10" x14ac:dyDescent="0.25">
      <c r="C83" s="12" t="s">
        <v>221</v>
      </c>
      <c r="D83" s="2" t="s">
        <v>225</v>
      </c>
      <c r="E83" s="2"/>
      <c r="F83" s="2">
        <v>150</v>
      </c>
      <c r="G83" s="2" t="s">
        <v>25</v>
      </c>
      <c r="H83" s="2"/>
      <c r="I83" s="2"/>
      <c r="J83" s="13"/>
    </row>
    <row r="84" spans="3:10" ht="16" x14ac:dyDescent="0.35">
      <c r="C84" s="68"/>
      <c r="D84" s="29"/>
      <c r="E84" s="29"/>
      <c r="F84" s="29"/>
      <c r="G84" s="29"/>
      <c r="H84" s="53" t="s">
        <v>809</v>
      </c>
      <c r="I84" s="54"/>
      <c r="J84" s="15"/>
    </row>
    <row r="85" spans="3:10" ht="18" thickBot="1" x14ac:dyDescent="0.4">
      <c r="C85" s="70"/>
      <c r="D85" s="31"/>
      <c r="E85" s="31"/>
      <c r="F85" s="31"/>
      <c r="G85" s="31"/>
      <c r="H85" s="50" t="s">
        <v>947</v>
      </c>
      <c r="I85" s="72"/>
      <c r="J85" s="21"/>
    </row>
    <row r="86" spans="3:10" ht="17.5" x14ac:dyDescent="0.35">
      <c r="C86" s="64" t="s">
        <v>811</v>
      </c>
      <c r="D86" s="43"/>
      <c r="E86" s="43"/>
      <c r="F86" s="43"/>
      <c r="G86" s="43"/>
      <c r="H86" s="43"/>
      <c r="I86" s="44"/>
      <c r="J86" s="45"/>
    </row>
    <row r="87" spans="3:10" x14ac:dyDescent="0.25">
      <c r="C87" s="12" t="s">
        <v>37</v>
      </c>
      <c r="D87" s="2" t="s">
        <v>812</v>
      </c>
      <c r="E87" s="2"/>
      <c r="F87" s="2">
        <v>300000</v>
      </c>
      <c r="G87" s="2" t="s">
        <v>27</v>
      </c>
      <c r="H87" s="2"/>
      <c r="I87" s="2"/>
      <c r="J87" s="13"/>
    </row>
    <row r="88" spans="3:10" x14ac:dyDescent="0.25">
      <c r="C88" s="12" t="s">
        <v>226</v>
      </c>
      <c r="D88" s="2" t="s">
        <v>227</v>
      </c>
      <c r="E88" s="2"/>
      <c r="F88" s="2">
        <v>1</v>
      </c>
      <c r="G88" s="2" t="s">
        <v>72</v>
      </c>
      <c r="H88" s="2"/>
      <c r="I88" s="2"/>
      <c r="J88" s="13"/>
    </row>
    <row r="89" spans="3:10" x14ac:dyDescent="0.25">
      <c r="C89" s="12" t="s">
        <v>228</v>
      </c>
      <c r="D89" s="2" t="s">
        <v>229</v>
      </c>
      <c r="E89" s="2"/>
      <c r="F89" s="2">
        <v>1</v>
      </c>
      <c r="G89" s="2" t="s">
        <v>72</v>
      </c>
      <c r="H89" s="2"/>
      <c r="I89" s="2"/>
      <c r="J89" s="13"/>
    </row>
    <row r="90" spans="3:10" x14ac:dyDescent="0.25">
      <c r="C90" s="12" t="s">
        <v>230</v>
      </c>
      <c r="D90" s="2" t="s">
        <v>231</v>
      </c>
      <c r="E90" s="2"/>
      <c r="F90" s="2">
        <v>1</v>
      </c>
      <c r="G90" s="2" t="s">
        <v>72</v>
      </c>
      <c r="H90" s="2"/>
      <c r="I90" s="2"/>
      <c r="J90" s="13"/>
    </row>
    <row r="91" spans="3:10" x14ac:dyDescent="0.25">
      <c r="C91" s="12" t="s">
        <v>232</v>
      </c>
      <c r="D91" s="2" t="s">
        <v>233</v>
      </c>
      <c r="E91" s="2"/>
      <c r="F91" s="2">
        <v>0</v>
      </c>
      <c r="G91" s="2" t="s">
        <v>72</v>
      </c>
      <c r="H91" s="2"/>
      <c r="I91" s="2"/>
      <c r="J91" s="13"/>
    </row>
    <row r="92" spans="3:10" ht="16" x14ac:dyDescent="0.35">
      <c r="C92" s="68"/>
      <c r="D92" s="29"/>
      <c r="E92" s="29"/>
      <c r="F92" s="29"/>
      <c r="G92" s="29"/>
      <c r="H92" s="53" t="s">
        <v>813</v>
      </c>
      <c r="I92" s="54"/>
      <c r="J92" s="15"/>
    </row>
    <row r="93" spans="3:10" x14ac:dyDescent="0.25">
      <c r="C93" s="12" t="s">
        <v>234</v>
      </c>
      <c r="D93" s="2" t="s">
        <v>814</v>
      </c>
      <c r="E93" s="2"/>
      <c r="F93" s="2">
        <v>100</v>
      </c>
      <c r="G93" s="2" t="s">
        <v>25</v>
      </c>
      <c r="H93" s="2"/>
      <c r="I93" s="2"/>
      <c r="J93" s="13"/>
    </row>
    <row r="94" spans="3:10" x14ac:dyDescent="0.25">
      <c r="C94" s="12" t="s">
        <v>236</v>
      </c>
      <c r="D94" s="2" t="s">
        <v>237</v>
      </c>
      <c r="E94" s="2"/>
      <c r="F94" s="2">
        <v>100</v>
      </c>
      <c r="G94" s="2" t="s">
        <v>25</v>
      </c>
      <c r="H94" s="2"/>
      <c r="I94" s="2"/>
      <c r="J94" s="13"/>
    </row>
    <row r="95" spans="3:10" x14ac:dyDescent="0.25">
      <c r="C95" s="12" t="s">
        <v>238</v>
      </c>
      <c r="D95" s="2" t="s">
        <v>815</v>
      </c>
      <c r="E95" s="2"/>
      <c r="F95" s="2">
        <v>1</v>
      </c>
      <c r="G95" s="2" t="s">
        <v>72</v>
      </c>
      <c r="H95" s="2"/>
      <c r="I95" s="2"/>
      <c r="J95" s="13"/>
    </row>
    <row r="96" spans="3:10" x14ac:dyDescent="0.25">
      <c r="C96" s="12" t="s">
        <v>239</v>
      </c>
      <c r="D96" s="2" t="s">
        <v>240</v>
      </c>
      <c r="E96" s="2"/>
      <c r="F96" s="2">
        <v>0</v>
      </c>
      <c r="G96" s="2" t="s">
        <v>72</v>
      </c>
      <c r="H96" s="2"/>
      <c r="I96" s="2"/>
      <c r="J96" s="13"/>
    </row>
    <row r="97" spans="3:10" x14ac:dyDescent="0.25">
      <c r="C97" s="12" t="s">
        <v>241</v>
      </c>
      <c r="D97" s="2" t="s">
        <v>242</v>
      </c>
      <c r="E97" s="2"/>
      <c r="F97" s="2">
        <v>1</v>
      </c>
      <c r="G97" s="2" t="s">
        <v>72</v>
      </c>
      <c r="H97" s="2"/>
      <c r="I97" s="2"/>
      <c r="J97" s="13"/>
    </row>
    <row r="98" spans="3:10" x14ac:dyDescent="0.25">
      <c r="C98" s="12" t="s">
        <v>243</v>
      </c>
      <c r="D98" s="2" t="s">
        <v>816</v>
      </c>
      <c r="E98" s="2"/>
      <c r="F98" s="2">
        <v>0</v>
      </c>
      <c r="G98" s="2" t="s">
        <v>72</v>
      </c>
      <c r="H98" s="2"/>
      <c r="I98" s="2"/>
      <c r="J98" s="13"/>
    </row>
    <row r="99" spans="3:10" ht="16" x14ac:dyDescent="0.35">
      <c r="C99" s="67"/>
      <c r="D99" s="33"/>
      <c r="E99" s="33"/>
      <c r="F99" s="33"/>
      <c r="G99" s="33"/>
      <c r="H99" s="53" t="s">
        <v>817</v>
      </c>
      <c r="I99" s="54"/>
      <c r="J99" s="25"/>
    </row>
    <row r="100" spans="3:10" x14ac:dyDescent="0.25">
      <c r="C100" s="12" t="s">
        <v>245</v>
      </c>
      <c r="D100" s="2" t="s">
        <v>246</v>
      </c>
      <c r="E100" s="2"/>
      <c r="F100" s="2">
        <v>1</v>
      </c>
      <c r="G100" s="2" t="s">
        <v>25</v>
      </c>
      <c r="H100" s="2"/>
      <c r="I100" s="2"/>
      <c r="J100" s="13"/>
    </row>
    <row r="101" spans="3:10" x14ac:dyDescent="0.25">
      <c r="C101" s="12" t="s">
        <v>247</v>
      </c>
      <c r="D101" s="2" t="s">
        <v>248</v>
      </c>
      <c r="E101" s="2"/>
      <c r="F101" s="2">
        <v>1</v>
      </c>
      <c r="G101" s="2" t="s">
        <v>72</v>
      </c>
      <c r="H101" s="2"/>
      <c r="I101" s="2"/>
      <c r="J101" s="13"/>
    </row>
    <row r="102" spans="3:10" ht="18" thickBot="1" x14ac:dyDescent="0.4">
      <c r="C102" s="70"/>
      <c r="D102" s="31"/>
      <c r="E102" s="31"/>
      <c r="F102" s="31"/>
      <c r="G102" s="31"/>
      <c r="H102" s="50" t="s">
        <v>948</v>
      </c>
      <c r="I102" s="72"/>
      <c r="J102" s="21"/>
    </row>
    <row r="103" spans="3:10" ht="17.5" x14ac:dyDescent="0.35">
      <c r="C103" s="64" t="s">
        <v>820</v>
      </c>
      <c r="D103" s="43"/>
      <c r="E103" s="43"/>
      <c r="F103" s="43"/>
      <c r="G103" s="43"/>
      <c r="H103" s="43"/>
      <c r="I103" s="44"/>
      <c r="J103" s="45"/>
    </row>
    <row r="104" spans="3:10" x14ac:dyDescent="0.25">
      <c r="C104" s="12" t="s">
        <v>38</v>
      </c>
      <c r="D104" s="2" t="s">
        <v>39</v>
      </c>
      <c r="E104" s="2"/>
      <c r="F104" s="2">
        <v>18000</v>
      </c>
      <c r="G104" s="2" t="s">
        <v>27</v>
      </c>
      <c r="H104" s="2"/>
      <c r="I104" s="2"/>
      <c r="J104" s="13"/>
    </row>
    <row r="105" spans="3:10" x14ac:dyDescent="0.25">
      <c r="C105" s="12" t="s">
        <v>38</v>
      </c>
      <c r="D105" s="2" t="s">
        <v>249</v>
      </c>
      <c r="E105" s="2"/>
      <c r="F105" s="2">
        <v>2</v>
      </c>
      <c r="G105" s="2" t="s">
        <v>72</v>
      </c>
      <c r="H105" s="2"/>
      <c r="I105" s="2"/>
      <c r="J105" s="13"/>
    </row>
    <row r="106" spans="3:10" x14ac:dyDescent="0.25">
      <c r="C106" s="12" t="s">
        <v>40</v>
      </c>
      <c r="D106" s="2" t="s">
        <v>41</v>
      </c>
      <c r="E106" s="2"/>
      <c r="F106" s="2">
        <v>15000</v>
      </c>
      <c r="G106" s="2" t="s">
        <v>27</v>
      </c>
      <c r="H106" s="2"/>
      <c r="I106" s="2"/>
      <c r="J106" s="13"/>
    </row>
    <row r="107" spans="3:10" x14ac:dyDescent="0.25">
      <c r="C107" s="12" t="s">
        <v>40</v>
      </c>
      <c r="D107" s="2" t="s">
        <v>821</v>
      </c>
      <c r="E107" s="2"/>
      <c r="F107" s="2">
        <v>15000</v>
      </c>
      <c r="G107" s="2" t="s">
        <v>27</v>
      </c>
      <c r="H107" s="2"/>
      <c r="I107" s="2"/>
      <c r="J107" s="13"/>
    </row>
    <row r="108" spans="3:10" x14ac:dyDescent="0.25">
      <c r="C108" s="12" t="s">
        <v>40</v>
      </c>
      <c r="D108" s="2" t="s">
        <v>250</v>
      </c>
      <c r="E108" s="2"/>
      <c r="F108" s="2">
        <v>160</v>
      </c>
      <c r="G108" s="2" t="s">
        <v>27</v>
      </c>
      <c r="H108" s="2"/>
      <c r="I108" s="2"/>
      <c r="J108" s="13"/>
    </row>
    <row r="109" spans="3:10" x14ac:dyDescent="0.25">
      <c r="C109" s="12" t="s">
        <v>40</v>
      </c>
      <c r="D109" s="2" t="s">
        <v>251</v>
      </c>
      <c r="E109" s="2"/>
      <c r="F109" s="2">
        <v>511</v>
      </c>
      <c r="G109" s="2" t="s">
        <v>27</v>
      </c>
      <c r="H109" s="2"/>
      <c r="I109" s="2"/>
      <c r="J109" s="13"/>
    </row>
    <row r="110" spans="3:10" x14ac:dyDescent="0.25">
      <c r="C110" s="12" t="s">
        <v>40</v>
      </c>
      <c r="D110" s="2" t="s">
        <v>822</v>
      </c>
      <c r="E110" s="2"/>
      <c r="F110" s="2">
        <v>798</v>
      </c>
      <c r="G110" s="2" t="s">
        <v>27</v>
      </c>
      <c r="H110" s="2"/>
      <c r="I110" s="2"/>
      <c r="J110" s="13"/>
    </row>
    <row r="111" spans="3:10" x14ac:dyDescent="0.25">
      <c r="C111" s="12" t="s">
        <v>252</v>
      </c>
      <c r="D111" s="2" t="s">
        <v>253</v>
      </c>
      <c r="E111" s="2"/>
      <c r="F111" s="2">
        <v>1000</v>
      </c>
      <c r="G111" s="2" t="s">
        <v>27</v>
      </c>
      <c r="H111" s="2"/>
      <c r="I111" s="2"/>
      <c r="J111" s="13"/>
    </row>
    <row r="112" spans="3:10" ht="16" x14ac:dyDescent="0.35">
      <c r="C112" s="67"/>
      <c r="D112" s="33"/>
      <c r="E112" s="33"/>
      <c r="F112" s="33"/>
      <c r="G112" s="33"/>
      <c r="H112" s="53" t="s">
        <v>823</v>
      </c>
      <c r="I112" s="54"/>
      <c r="J112" s="25"/>
    </row>
    <row r="113" spans="3:10" x14ac:dyDescent="0.25">
      <c r="C113" s="12" t="s">
        <v>254</v>
      </c>
      <c r="D113" s="2" t="s">
        <v>255</v>
      </c>
      <c r="E113" s="2"/>
      <c r="F113" s="2">
        <v>100</v>
      </c>
      <c r="G113" s="2" t="s">
        <v>25</v>
      </c>
      <c r="H113" s="2"/>
      <c r="I113" s="2"/>
      <c r="J113" s="13"/>
    </row>
    <row r="114" spans="3:10" x14ac:dyDescent="0.25">
      <c r="C114" s="12" t="s">
        <v>46</v>
      </c>
      <c r="D114" s="2" t="s">
        <v>256</v>
      </c>
      <c r="E114" s="2"/>
      <c r="F114" s="2">
        <v>0</v>
      </c>
      <c r="G114" s="2" t="s">
        <v>27</v>
      </c>
      <c r="H114" s="2"/>
      <c r="I114" s="2"/>
      <c r="J114" s="13"/>
    </row>
    <row r="115" spans="3:10" x14ac:dyDescent="0.25">
      <c r="C115" s="12" t="s">
        <v>42</v>
      </c>
      <c r="D115" s="2" t="s">
        <v>43</v>
      </c>
      <c r="E115" s="2"/>
      <c r="F115" s="2">
        <v>75000</v>
      </c>
      <c r="G115" s="2" t="s">
        <v>27</v>
      </c>
      <c r="H115" s="2"/>
      <c r="I115" s="2"/>
      <c r="J115" s="13"/>
    </row>
    <row r="116" spans="3:10" x14ac:dyDescent="0.25">
      <c r="C116" s="12" t="s">
        <v>257</v>
      </c>
      <c r="D116" s="2" t="s">
        <v>258</v>
      </c>
      <c r="E116" s="2"/>
      <c r="F116" s="2">
        <v>1</v>
      </c>
      <c r="G116" s="2" t="s">
        <v>72</v>
      </c>
      <c r="H116" s="2"/>
      <c r="I116" s="2"/>
      <c r="J116" s="13"/>
    </row>
    <row r="117" spans="3:10" ht="16" x14ac:dyDescent="0.35">
      <c r="C117" s="67"/>
      <c r="D117" s="33"/>
      <c r="E117" s="33"/>
      <c r="F117" s="33"/>
      <c r="G117" s="33"/>
      <c r="H117" s="53" t="s">
        <v>824</v>
      </c>
      <c r="I117" s="54"/>
      <c r="J117" s="25"/>
    </row>
    <row r="118" spans="3:10" x14ac:dyDescent="0.25">
      <c r="C118" s="12" t="s">
        <v>48</v>
      </c>
      <c r="D118" s="2" t="s">
        <v>49</v>
      </c>
      <c r="E118" s="2"/>
      <c r="F118" s="2">
        <v>0</v>
      </c>
      <c r="G118" s="2" t="s">
        <v>72</v>
      </c>
      <c r="H118" s="2"/>
      <c r="I118" s="2"/>
      <c r="J118" s="13"/>
    </row>
    <row r="119" spans="3:10" x14ac:dyDescent="0.25">
      <c r="C119" s="12" t="s">
        <v>48</v>
      </c>
      <c r="D119" s="2" t="s">
        <v>259</v>
      </c>
      <c r="E119" s="2"/>
      <c r="F119" s="2">
        <v>0</v>
      </c>
      <c r="G119" s="2" t="s">
        <v>72</v>
      </c>
      <c r="H119" s="2"/>
      <c r="I119" s="2"/>
      <c r="J119" s="13"/>
    </row>
    <row r="120" spans="3:10" ht="16" x14ac:dyDescent="0.35">
      <c r="C120" s="67"/>
      <c r="D120" s="33"/>
      <c r="E120" s="33"/>
      <c r="F120" s="33"/>
      <c r="G120" s="33"/>
      <c r="H120" s="53" t="s">
        <v>825</v>
      </c>
      <c r="I120" s="54"/>
      <c r="J120" s="25"/>
    </row>
    <row r="121" spans="3:10" x14ac:dyDescent="0.25">
      <c r="C121" s="12" t="s">
        <v>50</v>
      </c>
      <c r="D121" s="2" t="s">
        <v>51</v>
      </c>
      <c r="E121" s="2"/>
      <c r="F121" s="2">
        <v>0</v>
      </c>
      <c r="G121" s="2" t="s">
        <v>27</v>
      </c>
      <c r="H121" s="2"/>
      <c r="I121" s="2"/>
      <c r="J121" s="13"/>
    </row>
    <row r="122" spans="3:10" x14ac:dyDescent="0.25">
      <c r="C122" s="12" t="s">
        <v>52</v>
      </c>
      <c r="D122" s="2" t="s">
        <v>53</v>
      </c>
      <c r="E122" s="2"/>
      <c r="F122" s="2">
        <v>52920</v>
      </c>
      <c r="G122" s="2" t="s">
        <v>27</v>
      </c>
      <c r="H122" s="2"/>
      <c r="I122" s="2"/>
      <c r="J122" s="13"/>
    </row>
    <row r="123" spans="3:10" ht="16" x14ac:dyDescent="0.35">
      <c r="C123" s="67"/>
      <c r="D123" s="33"/>
      <c r="E123" s="33"/>
      <c r="F123" s="33"/>
      <c r="G123" s="33"/>
      <c r="H123" s="53" t="s">
        <v>826</v>
      </c>
      <c r="I123" s="54"/>
      <c r="J123" s="25"/>
    </row>
    <row r="124" spans="3:10" x14ac:dyDescent="0.25">
      <c r="C124" s="12" t="s">
        <v>54</v>
      </c>
      <c r="D124" s="2" t="s">
        <v>55</v>
      </c>
      <c r="E124" s="2"/>
      <c r="F124" s="2">
        <v>60000</v>
      </c>
      <c r="G124" s="2" t="s">
        <v>27</v>
      </c>
      <c r="H124" s="2"/>
      <c r="I124" s="2"/>
      <c r="J124" s="13"/>
    </row>
    <row r="125" spans="3:10" x14ac:dyDescent="0.25">
      <c r="C125" s="12" t="s">
        <v>261</v>
      </c>
      <c r="D125" s="2" t="s">
        <v>262</v>
      </c>
      <c r="E125" s="2"/>
      <c r="F125" s="2">
        <v>1</v>
      </c>
      <c r="G125" s="2" t="s">
        <v>72</v>
      </c>
      <c r="H125" s="2"/>
      <c r="I125" s="2"/>
      <c r="J125" s="13"/>
    </row>
    <row r="126" spans="3:10" x14ac:dyDescent="0.25">
      <c r="C126" s="12" t="s">
        <v>263</v>
      </c>
      <c r="D126" s="2" t="s">
        <v>264</v>
      </c>
      <c r="E126" s="2"/>
      <c r="F126" s="2">
        <v>0</v>
      </c>
      <c r="G126" s="2" t="s">
        <v>27</v>
      </c>
      <c r="H126" s="2"/>
      <c r="I126" s="2"/>
      <c r="J126" s="13"/>
    </row>
    <row r="127" spans="3:10" ht="16" x14ac:dyDescent="0.35">
      <c r="C127" s="67"/>
      <c r="D127" s="33"/>
      <c r="E127" s="33"/>
      <c r="F127" s="33"/>
      <c r="G127" s="33"/>
      <c r="H127" s="53" t="s">
        <v>827</v>
      </c>
      <c r="I127" s="54"/>
      <c r="J127" s="25"/>
    </row>
    <row r="128" spans="3:10" x14ac:dyDescent="0.25">
      <c r="C128" s="12" t="s">
        <v>265</v>
      </c>
      <c r="D128" s="2" t="s">
        <v>266</v>
      </c>
      <c r="E128" s="2"/>
      <c r="F128" s="2">
        <v>1</v>
      </c>
      <c r="G128" s="2" t="s">
        <v>72</v>
      </c>
      <c r="H128" s="2"/>
      <c r="I128" s="2"/>
      <c r="J128" s="13"/>
    </row>
    <row r="129" spans="3:10" x14ac:dyDescent="0.25">
      <c r="C129" s="12" t="s">
        <v>267</v>
      </c>
      <c r="D129" s="2" t="s">
        <v>268</v>
      </c>
      <c r="E129" s="2"/>
      <c r="F129" s="2">
        <v>0</v>
      </c>
      <c r="G129" s="2" t="s">
        <v>25</v>
      </c>
      <c r="H129" s="2"/>
      <c r="I129" s="2"/>
      <c r="J129" s="13"/>
    </row>
    <row r="130" spans="3:10" x14ac:dyDescent="0.25">
      <c r="C130" s="12" t="s">
        <v>269</v>
      </c>
      <c r="D130" s="2" t="s">
        <v>270</v>
      </c>
      <c r="E130" s="2"/>
      <c r="F130" s="2">
        <v>100</v>
      </c>
      <c r="G130" s="2" t="s">
        <v>25</v>
      </c>
      <c r="H130" s="2"/>
      <c r="I130" s="2"/>
      <c r="J130" s="13"/>
    </row>
    <row r="131" spans="3:10" x14ac:dyDescent="0.25">
      <c r="C131" s="12" t="s">
        <v>271</v>
      </c>
      <c r="D131" s="2" t="s">
        <v>272</v>
      </c>
      <c r="E131" s="2"/>
      <c r="F131" s="2">
        <v>0</v>
      </c>
      <c r="G131" s="2" t="s">
        <v>25</v>
      </c>
      <c r="H131" s="2"/>
      <c r="I131" s="2"/>
      <c r="J131" s="13"/>
    </row>
    <row r="132" spans="3:10" ht="16" x14ac:dyDescent="0.35">
      <c r="C132" s="67"/>
      <c r="D132" s="33"/>
      <c r="E132" s="33"/>
      <c r="F132" s="33"/>
      <c r="G132" s="33"/>
      <c r="H132" s="53" t="s">
        <v>828</v>
      </c>
      <c r="I132" s="54"/>
      <c r="J132" s="25"/>
    </row>
    <row r="133" spans="3:10" ht="18" thickBot="1" x14ac:dyDescent="0.4">
      <c r="C133" s="70"/>
      <c r="D133" s="31"/>
      <c r="E133" s="31"/>
      <c r="F133" s="31"/>
      <c r="G133" s="31"/>
      <c r="H133" s="50" t="s">
        <v>949</v>
      </c>
      <c r="I133" s="72"/>
      <c r="J133" s="21"/>
    </row>
    <row r="134" spans="3:10" ht="17.5" x14ac:dyDescent="0.35">
      <c r="C134" s="64" t="s">
        <v>830</v>
      </c>
      <c r="D134" s="43"/>
      <c r="E134" s="43"/>
      <c r="F134" s="43"/>
      <c r="G134" s="43"/>
      <c r="H134" s="43"/>
      <c r="I134" s="44"/>
      <c r="J134" s="45"/>
    </row>
    <row r="135" spans="3:10" x14ac:dyDescent="0.25">
      <c r="C135" s="12" t="s">
        <v>273</v>
      </c>
      <c r="D135" s="2" t="s">
        <v>831</v>
      </c>
      <c r="E135" s="2"/>
      <c r="F135" s="2">
        <v>100</v>
      </c>
      <c r="G135" s="2" t="s">
        <v>25</v>
      </c>
      <c r="H135" s="2"/>
      <c r="I135" s="2"/>
      <c r="J135" s="13"/>
    </row>
    <row r="136" spans="3:10" x14ac:dyDescent="0.25">
      <c r="C136" s="12" t="s">
        <v>274</v>
      </c>
      <c r="D136" s="2" t="s">
        <v>832</v>
      </c>
      <c r="E136" s="2"/>
      <c r="F136" s="2">
        <v>0</v>
      </c>
      <c r="G136" s="2" t="s">
        <v>72</v>
      </c>
      <c r="H136" s="2"/>
      <c r="I136" s="2"/>
      <c r="J136" s="13"/>
    </row>
    <row r="137" spans="3:10" x14ac:dyDescent="0.25">
      <c r="C137" s="12" t="s">
        <v>276</v>
      </c>
      <c r="D137" s="2" t="s">
        <v>833</v>
      </c>
      <c r="E137" s="2"/>
      <c r="F137" s="2">
        <v>100</v>
      </c>
      <c r="G137" s="2" t="s">
        <v>25</v>
      </c>
      <c r="H137" s="2"/>
      <c r="I137" s="2"/>
      <c r="J137" s="13"/>
    </row>
    <row r="138" spans="3:10" x14ac:dyDescent="0.25">
      <c r="C138" s="12" t="s">
        <v>278</v>
      </c>
      <c r="D138" s="2" t="s">
        <v>834</v>
      </c>
      <c r="E138" s="2"/>
      <c r="F138" s="2">
        <v>1</v>
      </c>
      <c r="G138" s="2" t="s">
        <v>72</v>
      </c>
      <c r="H138" s="2"/>
      <c r="I138" s="2"/>
      <c r="J138" s="13"/>
    </row>
    <row r="139" spans="3:10" ht="16" x14ac:dyDescent="0.35">
      <c r="C139" s="67"/>
      <c r="D139" s="33"/>
      <c r="E139" s="33"/>
      <c r="F139" s="33"/>
      <c r="G139" s="33"/>
      <c r="H139" s="53" t="s">
        <v>835</v>
      </c>
      <c r="I139" s="54"/>
      <c r="J139" s="25"/>
    </row>
    <row r="140" spans="3:10" x14ac:dyDescent="0.25">
      <c r="C140" s="12" t="s">
        <v>58</v>
      </c>
      <c r="D140" s="2" t="s">
        <v>836</v>
      </c>
      <c r="E140" s="2"/>
      <c r="F140" s="2">
        <v>500</v>
      </c>
      <c r="G140" s="2" t="s">
        <v>27</v>
      </c>
      <c r="H140" s="2"/>
      <c r="I140" s="2"/>
      <c r="J140" s="13"/>
    </row>
    <row r="141" spans="3:10" x14ac:dyDescent="0.25">
      <c r="C141" s="12" t="s">
        <v>58</v>
      </c>
      <c r="D141" s="2" t="s">
        <v>281</v>
      </c>
      <c r="E141" s="2"/>
      <c r="F141" s="2">
        <v>1</v>
      </c>
      <c r="G141" s="2" t="s">
        <v>25</v>
      </c>
      <c r="H141" s="2"/>
      <c r="I141" s="2"/>
      <c r="J141" s="13"/>
    </row>
    <row r="142" spans="3:10" ht="16" x14ac:dyDescent="0.35">
      <c r="C142" s="67"/>
      <c r="D142" s="33"/>
      <c r="E142" s="33"/>
      <c r="F142" s="33"/>
      <c r="G142" s="33"/>
      <c r="H142" s="53" t="s">
        <v>837</v>
      </c>
      <c r="I142" s="54"/>
      <c r="J142" s="25"/>
    </row>
    <row r="143" spans="3:10" x14ac:dyDescent="0.25">
      <c r="C143" s="12" t="s">
        <v>282</v>
      </c>
      <c r="D143" s="2" t="s">
        <v>283</v>
      </c>
      <c r="E143" s="2"/>
      <c r="F143" s="2">
        <v>0</v>
      </c>
      <c r="G143" s="2" t="s">
        <v>72</v>
      </c>
      <c r="H143" s="2"/>
      <c r="I143" s="2"/>
      <c r="J143" s="13"/>
    </row>
    <row r="144" spans="3:10" ht="16" x14ac:dyDescent="0.35">
      <c r="C144" s="67"/>
      <c r="D144" s="33"/>
      <c r="E144" s="33"/>
      <c r="F144" s="33"/>
      <c r="G144" s="33"/>
      <c r="H144" s="53" t="s">
        <v>838</v>
      </c>
      <c r="I144" s="54"/>
      <c r="J144" s="25"/>
    </row>
    <row r="145" spans="3:10" x14ac:dyDescent="0.25">
      <c r="C145" s="12" t="s">
        <v>284</v>
      </c>
      <c r="D145" s="2" t="s">
        <v>839</v>
      </c>
      <c r="E145" s="2"/>
      <c r="F145" s="2">
        <v>0</v>
      </c>
      <c r="G145" s="2" t="s">
        <v>25</v>
      </c>
      <c r="H145" s="2"/>
      <c r="I145" s="2"/>
      <c r="J145" s="13"/>
    </row>
    <row r="146" spans="3:10" x14ac:dyDescent="0.25">
      <c r="C146" s="12" t="s">
        <v>56</v>
      </c>
      <c r="D146" s="2" t="s">
        <v>840</v>
      </c>
      <c r="E146" s="2"/>
      <c r="F146" s="2">
        <v>100</v>
      </c>
      <c r="G146" s="2" t="s">
        <v>25</v>
      </c>
      <c r="H146" s="2"/>
      <c r="I146" s="2"/>
      <c r="J146" s="13"/>
    </row>
    <row r="147" spans="3:10" x14ac:dyDescent="0.25">
      <c r="C147" s="12" t="s">
        <v>56</v>
      </c>
      <c r="D147" s="2" t="s">
        <v>841</v>
      </c>
      <c r="E147" s="2"/>
      <c r="F147" s="2">
        <v>1</v>
      </c>
      <c r="G147" s="2" t="s">
        <v>72</v>
      </c>
      <c r="H147" s="2"/>
      <c r="I147" s="2"/>
      <c r="J147" s="13"/>
    </row>
    <row r="148" spans="3:10" ht="16" x14ac:dyDescent="0.35">
      <c r="C148" s="67"/>
      <c r="D148" s="33"/>
      <c r="E148" s="33"/>
      <c r="F148" s="33"/>
      <c r="G148" s="33"/>
      <c r="H148" s="53" t="s">
        <v>842</v>
      </c>
      <c r="I148" s="54"/>
      <c r="J148" s="25"/>
    </row>
    <row r="149" spans="3:10" x14ac:dyDescent="0.25">
      <c r="C149" s="12" t="s">
        <v>287</v>
      </c>
      <c r="D149" s="2" t="s">
        <v>288</v>
      </c>
      <c r="E149" s="2"/>
      <c r="F149" s="2">
        <v>100</v>
      </c>
      <c r="G149" s="2" t="s">
        <v>25</v>
      </c>
      <c r="H149" s="2"/>
      <c r="I149" s="2"/>
      <c r="J149" s="13"/>
    </row>
    <row r="150" spans="3:10" x14ac:dyDescent="0.25">
      <c r="C150" s="12" t="s">
        <v>289</v>
      </c>
      <c r="D150" s="2" t="s">
        <v>290</v>
      </c>
      <c r="E150" s="2"/>
      <c r="F150" s="2">
        <v>100</v>
      </c>
      <c r="G150" s="2" t="s">
        <v>72</v>
      </c>
      <c r="H150" s="2"/>
      <c r="I150" s="2"/>
      <c r="J150" s="13"/>
    </row>
    <row r="151" spans="3:10" ht="16" x14ac:dyDescent="0.35">
      <c r="C151" s="67"/>
      <c r="D151" s="33"/>
      <c r="E151" s="33"/>
      <c r="F151" s="33"/>
      <c r="G151" s="33"/>
      <c r="H151" s="53" t="s">
        <v>843</v>
      </c>
      <c r="I151" s="54"/>
      <c r="J151" s="25"/>
    </row>
    <row r="152" spans="3:10" ht="18" thickBot="1" x14ac:dyDescent="0.4">
      <c r="C152" s="70"/>
      <c r="D152" s="31"/>
      <c r="E152" s="31"/>
      <c r="F152" s="31"/>
      <c r="G152" s="31"/>
      <c r="H152" s="50" t="s">
        <v>950</v>
      </c>
      <c r="I152" s="72"/>
      <c r="J152" s="21"/>
    </row>
    <row r="153" spans="3:10" ht="17.5" x14ac:dyDescent="0.35">
      <c r="C153" s="64" t="s">
        <v>845</v>
      </c>
      <c r="D153" s="43"/>
      <c r="E153" s="43"/>
      <c r="F153" s="43"/>
      <c r="G153" s="43"/>
      <c r="H153" s="43"/>
      <c r="I153" s="44"/>
      <c r="J153" s="45"/>
    </row>
    <row r="154" spans="3:10" x14ac:dyDescent="0.25">
      <c r="C154" s="12" t="s">
        <v>293</v>
      </c>
      <c r="D154" s="2" t="s">
        <v>846</v>
      </c>
      <c r="E154" s="2"/>
      <c r="F154" s="2">
        <v>100</v>
      </c>
      <c r="G154" s="2" t="s">
        <v>25</v>
      </c>
      <c r="H154" s="2"/>
      <c r="I154" s="2"/>
      <c r="J154" s="13"/>
    </row>
    <row r="155" spans="3:10" x14ac:dyDescent="0.25">
      <c r="C155" s="12" t="s">
        <v>295</v>
      </c>
      <c r="D155" s="2" t="s">
        <v>296</v>
      </c>
      <c r="E155" s="2"/>
      <c r="F155" s="2">
        <v>0</v>
      </c>
      <c r="G155" s="2" t="s">
        <v>72</v>
      </c>
      <c r="H155" s="2"/>
      <c r="I155" s="2"/>
      <c r="J155" s="13"/>
    </row>
    <row r="156" spans="3:10" ht="16" x14ac:dyDescent="0.35">
      <c r="C156" s="67"/>
      <c r="D156" s="33"/>
      <c r="E156" s="33"/>
      <c r="F156" s="33"/>
      <c r="G156" s="33"/>
      <c r="H156" s="53" t="s">
        <v>847</v>
      </c>
      <c r="I156" s="54"/>
      <c r="J156" s="25"/>
    </row>
    <row r="157" spans="3:10" x14ac:dyDescent="0.25">
      <c r="C157" s="12" t="s">
        <v>297</v>
      </c>
      <c r="D157" s="2" t="s">
        <v>298</v>
      </c>
      <c r="E157" s="2"/>
      <c r="F157" s="2">
        <v>100</v>
      </c>
      <c r="G157" s="2" t="s">
        <v>25</v>
      </c>
      <c r="H157" s="2"/>
      <c r="I157" s="2"/>
      <c r="J157" s="13"/>
    </row>
    <row r="158" spans="3:10" ht="16" x14ac:dyDescent="0.35">
      <c r="C158" s="67"/>
      <c r="D158" s="33"/>
      <c r="E158" s="33"/>
      <c r="F158" s="33"/>
      <c r="G158" s="33"/>
      <c r="H158" s="53" t="s">
        <v>848</v>
      </c>
      <c r="I158" s="54"/>
      <c r="J158" s="25"/>
    </row>
    <row r="159" spans="3:10" x14ac:dyDescent="0.25">
      <c r="C159" s="12" t="s">
        <v>475</v>
      </c>
      <c r="D159" s="2" t="s">
        <v>969</v>
      </c>
      <c r="E159" s="2"/>
      <c r="F159" s="2"/>
      <c r="G159" s="2"/>
      <c r="H159" s="2"/>
      <c r="I159" s="2"/>
      <c r="J159" s="13"/>
    </row>
    <row r="160" spans="3:10" x14ac:dyDescent="0.25">
      <c r="C160" s="12" t="s">
        <v>299</v>
      </c>
      <c r="D160" s="2" t="s">
        <v>300</v>
      </c>
      <c r="E160" s="2"/>
      <c r="F160" s="2">
        <v>2000</v>
      </c>
      <c r="G160" s="2" t="s">
        <v>27</v>
      </c>
      <c r="H160" s="2"/>
      <c r="I160" s="2"/>
      <c r="J160" s="13"/>
    </row>
    <row r="161" spans="3:10" ht="16" x14ac:dyDescent="0.35">
      <c r="C161" s="67"/>
      <c r="D161" s="33"/>
      <c r="E161" s="33"/>
      <c r="F161" s="33"/>
      <c r="G161" s="33"/>
      <c r="H161" s="53" t="s">
        <v>849</v>
      </c>
      <c r="I161" s="54"/>
      <c r="J161" s="25"/>
    </row>
    <row r="162" spans="3:10" x14ac:dyDescent="0.25">
      <c r="C162" s="12" t="s">
        <v>475</v>
      </c>
      <c r="D162" s="2" t="s">
        <v>302</v>
      </c>
      <c r="E162" s="2"/>
      <c r="F162" s="2"/>
      <c r="G162" s="2"/>
      <c r="H162" s="2"/>
      <c r="I162" s="2"/>
      <c r="J162" s="13"/>
    </row>
    <row r="163" spans="3:10" x14ac:dyDescent="0.25">
      <c r="C163" s="12" t="s">
        <v>301</v>
      </c>
      <c r="D163" s="2" t="s">
        <v>302</v>
      </c>
      <c r="E163" s="2"/>
      <c r="F163" s="2">
        <v>0</v>
      </c>
      <c r="G163" s="2" t="s">
        <v>72</v>
      </c>
      <c r="H163" s="2"/>
      <c r="I163" s="2"/>
      <c r="J163" s="13"/>
    </row>
    <row r="164" spans="3:10" ht="16" x14ac:dyDescent="0.35">
      <c r="C164" s="67"/>
      <c r="D164" s="33"/>
      <c r="E164" s="33"/>
      <c r="F164" s="33"/>
      <c r="G164" s="33"/>
      <c r="H164" s="53" t="s">
        <v>850</v>
      </c>
      <c r="I164" s="54"/>
      <c r="J164" s="25"/>
    </row>
    <row r="165" spans="3:10" x14ac:dyDescent="0.25">
      <c r="C165" s="12" t="s">
        <v>303</v>
      </c>
      <c r="D165" s="2" t="s">
        <v>304</v>
      </c>
      <c r="E165" s="2"/>
      <c r="F165" s="2">
        <v>100</v>
      </c>
      <c r="G165" s="2" t="s">
        <v>25</v>
      </c>
      <c r="H165" s="2"/>
      <c r="I165" s="2"/>
      <c r="J165" s="13"/>
    </row>
    <row r="166" spans="3:10" ht="16" x14ac:dyDescent="0.35">
      <c r="C166" s="67"/>
      <c r="D166" s="33"/>
      <c r="E166" s="33"/>
      <c r="F166" s="33"/>
      <c r="G166" s="33"/>
      <c r="H166" s="53" t="s">
        <v>851</v>
      </c>
      <c r="I166" s="54"/>
      <c r="J166" s="25"/>
    </row>
    <row r="167" spans="3:10" x14ac:dyDescent="0.25">
      <c r="C167" s="12" t="s">
        <v>305</v>
      </c>
      <c r="D167" s="2" t="s">
        <v>306</v>
      </c>
      <c r="E167" s="2"/>
      <c r="F167" s="2">
        <v>0</v>
      </c>
      <c r="G167" s="2" t="s">
        <v>27</v>
      </c>
      <c r="H167" s="2"/>
      <c r="I167" s="2"/>
      <c r="J167" s="13"/>
    </row>
    <row r="168" spans="3:10" ht="16" x14ac:dyDescent="0.35">
      <c r="C168" s="67"/>
      <c r="D168" s="33"/>
      <c r="E168" s="33"/>
      <c r="F168" s="33"/>
      <c r="G168" s="33"/>
      <c r="H168" s="53" t="s">
        <v>852</v>
      </c>
      <c r="I168" s="54"/>
      <c r="J168" s="25"/>
    </row>
    <row r="169" spans="3:10" x14ac:dyDescent="0.25">
      <c r="C169" s="12" t="s">
        <v>307</v>
      </c>
      <c r="D169" s="2" t="s">
        <v>308</v>
      </c>
      <c r="E169" s="2"/>
      <c r="F169" s="2">
        <v>1</v>
      </c>
      <c r="G169" s="2" t="s">
        <v>72</v>
      </c>
      <c r="H169" s="2"/>
      <c r="I169" s="2"/>
      <c r="J169" s="13"/>
    </row>
    <row r="170" spans="3:10" x14ac:dyDescent="0.25">
      <c r="C170" s="12" t="s">
        <v>307</v>
      </c>
      <c r="D170" s="2" t="s">
        <v>853</v>
      </c>
      <c r="E170" s="2"/>
      <c r="F170" s="2">
        <v>1</v>
      </c>
      <c r="G170" s="2" t="s">
        <v>72</v>
      </c>
      <c r="H170" s="2"/>
      <c r="I170" s="2"/>
      <c r="J170" s="13"/>
    </row>
    <row r="171" spans="3:10" ht="16" x14ac:dyDescent="0.35">
      <c r="C171" s="67"/>
      <c r="D171" s="33"/>
      <c r="E171" s="33"/>
      <c r="F171" s="33"/>
      <c r="G171" s="33"/>
      <c r="H171" s="53" t="s">
        <v>854</v>
      </c>
      <c r="I171" s="54"/>
      <c r="J171" s="25"/>
    </row>
    <row r="172" spans="3:10" x14ac:dyDescent="0.25">
      <c r="C172" s="12" t="s">
        <v>310</v>
      </c>
      <c r="D172" s="2" t="s">
        <v>311</v>
      </c>
      <c r="E172" s="2"/>
      <c r="F172" s="2">
        <v>1</v>
      </c>
      <c r="G172" s="2" t="s">
        <v>72</v>
      </c>
      <c r="H172" s="2"/>
      <c r="I172" s="2"/>
      <c r="J172" s="13"/>
    </row>
    <row r="173" spans="3:10" ht="16" x14ac:dyDescent="0.35">
      <c r="C173" s="67"/>
      <c r="D173" s="33"/>
      <c r="E173" s="33"/>
      <c r="F173" s="33"/>
      <c r="G173" s="33"/>
      <c r="H173" s="53" t="s">
        <v>855</v>
      </c>
      <c r="I173" s="54"/>
      <c r="J173" s="25"/>
    </row>
    <row r="174" spans="3:10" x14ac:dyDescent="0.25">
      <c r="C174" s="12" t="s">
        <v>475</v>
      </c>
      <c r="D174" s="2" t="s">
        <v>313</v>
      </c>
      <c r="E174" s="2"/>
      <c r="F174" s="2"/>
      <c r="G174" s="2"/>
      <c r="H174" s="2"/>
      <c r="I174" s="2"/>
      <c r="J174" s="13"/>
    </row>
    <row r="175" spans="3:10" x14ac:dyDescent="0.25">
      <c r="C175" s="12" t="s">
        <v>312</v>
      </c>
      <c r="D175" s="2" t="s">
        <v>313</v>
      </c>
      <c r="E175" s="2"/>
      <c r="F175" s="2">
        <v>100</v>
      </c>
      <c r="G175" s="2" t="s">
        <v>25</v>
      </c>
      <c r="H175" s="2"/>
      <c r="I175" s="2"/>
      <c r="J175" s="13"/>
    </row>
    <row r="176" spans="3:10" x14ac:dyDescent="0.25">
      <c r="C176" s="12" t="s">
        <v>314</v>
      </c>
      <c r="D176" s="2" t="s">
        <v>315</v>
      </c>
      <c r="E176" s="2"/>
      <c r="F176" s="2">
        <v>0</v>
      </c>
      <c r="G176" s="2" t="s">
        <v>27</v>
      </c>
      <c r="H176" s="2"/>
      <c r="I176" s="2"/>
      <c r="J176" s="13"/>
    </row>
    <row r="177" spans="3:10" ht="16" x14ac:dyDescent="0.35">
      <c r="C177" s="67"/>
      <c r="D177" s="33"/>
      <c r="E177" s="33"/>
      <c r="F177" s="33"/>
      <c r="G177" s="33"/>
      <c r="H177" s="53" t="s">
        <v>856</v>
      </c>
      <c r="I177" s="54"/>
      <c r="J177" s="25"/>
    </row>
    <row r="178" spans="3:10" x14ac:dyDescent="0.25">
      <c r="C178" s="12" t="s">
        <v>475</v>
      </c>
      <c r="D178" s="2" t="s">
        <v>317</v>
      </c>
      <c r="E178" s="2"/>
      <c r="F178" s="2"/>
      <c r="G178" s="2"/>
      <c r="H178" s="2"/>
      <c r="I178" s="2"/>
      <c r="J178" s="13"/>
    </row>
    <row r="179" spans="3:10" x14ac:dyDescent="0.25">
      <c r="C179" s="12" t="s">
        <v>316</v>
      </c>
      <c r="D179" s="2" t="s">
        <v>317</v>
      </c>
      <c r="E179" s="2"/>
      <c r="F179" s="2">
        <v>0</v>
      </c>
      <c r="G179" s="2" t="s">
        <v>72</v>
      </c>
      <c r="H179" s="2"/>
      <c r="I179" s="2"/>
      <c r="J179" s="13"/>
    </row>
    <row r="180" spans="3:10" ht="16" x14ac:dyDescent="0.35">
      <c r="C180" s="67"/>
      <c r="D180" s="33"/>
      <c r="E180" s="33"/>
      <c r="F180" s="33"/>
      <c r="G180" s="33"/>
      <c r="H180" s="53" t="s">
        <v>856</v>
      </c>
      <c r="I180" s="54"/>
      <c r="J180" s="25"/>
    </row>
    <row r="181" spans="3:10" ht="18" thickBot="1" x14ac:dyDescent="0.4">
      <c r="C181" s="70"/>
      <c r="D181" s="31"/>
      <c r="E181" s="31"/>
      <c r="F181" s="31"/>
      <c r="G181" s="31"/>
      <c r="H181" s="50" t="s">
        <v>951</v>
      </c>
      <c r="I181" s="72"/>
      <c r="J181" s="21"/>
    </row>
    <row r="182" spans="3:10" ht="17.5" x14ac:dyDescent="0.35">
      <c r="C182" s="64" t="s">
        <v>859</v>
      </c>
      <c r="D182" s="43"/>
      <c r="E182" s="43"/>
      <c r="F182" s="43"/>
      <c r="G182" s="43"/>
      <c r="H182" s="43"/>
      <c r="I182" s="44"/>
      <c r="J182" s="45"/>
    </row>
    <row r="183" spans="3:10" x14ac:dyDescent="0.25">
      <c r="C183" s="12" t="s">
        <v>319</v>
      </c>
      <c r="D183" s="2" t="s">
        <v>320</v>
      </c>
      <c r="E183" s="2"/>
      <c r="F183" s="2">
        <v>100</v>
      </c>
      <c r="G183" s="2" t="s">
        <v>25</v>
      </c>
      <c r="H183" s="2"/>
      <c r="I183" s="2"/>
      <c r="J183" s="13"/>
    </row>
    <row r="184" spans="3:10" x14ac:dyDescent="0.25">
      <c r="C184" s="12" t="s">
        <v>319</v>
      </c>
      <c r="D184" s="2" t="s">
        <v>860</v>
      </c>
      <c r="E184" s="2"/>
      <c r="F184" s="2">
        <v>1</v>
      </c>
      <c r="G184" s="2" t="s">
        <v>25</v>
      </c>
      <c r="H184" s="2"/>
      <c r="I184" s="2"/>
      <c r="J184" s="13"/>
    </row>
    <row r="185" spans="3:10" x14ac:dyDescent="0.25">
      <c r="C185" s="12" t="s">
        <v>319</v>
      </c>
      <c r="D185" s="2" t="s">
        <v>321</v>
      </c>
      <c r="E185" s="2"/>
      <c r="F185" s="2">
        <v>1</v>
      </c>
      <c r="G185" s="2" t="s">
        <v>25</v>
      </c>
      <c r="H185" s="2"/>
      <c r="I185" s="2"/>
      <c r="J185" s="13"/>
    </row>
    <row r="186" spans="3:10" x14ac:dyDescent="0.25">
      <c r="C186" s="12" t="s">
        <v>322</v>
      </c>
      <c r="D186" s="2" t="s">
        <v>323</v>
      </c>
      <c r="E186" s="2"/>
      <c r="F186" s="2">
        <v>0</v>
      </c>
      <c r="G186" s="2" t="s">
        <v>72</v>
      </c>
      <c r="H186" s="2"/>
      <c r="I186" s="2"/>
      <c r="J186" s="13"/>
    </row>
    <row r="187" spans="3:10" x14ac:dyDescent="0.25">
      <c r="C187" s="12" t="s">
        <v>324</v>
      </c>
      <c r="D187" s="2" t="s">
        <v>861</v>
      </c>
      <c r="E187" s="2"/>
      <c r="F187" s="2">
        <v>1</v>
      </c>
      <c r="G187" s="2" t="s">
        <v>72</v>
      </c>
      <c r="H187" s="2"/>
      <c r="I187" s="2"/>
      <c r="J187" s="13"/>
    </row>
    <row r="188" spans="3:10" x14ac:dyDescent="0.25">
      <c r="C188" s="12" t="s">
        <v>326</v>
      </c>
      <c r="D188" s="2" t="s">
        <v>327</v>
      </c>
      <c r="E188" s="2"/>
      <c r="F188" s="2">
        <v>50</v>
      </c>
      <c r="G188" s="2" t="s">
        <v>25</v>
      </c>
      <c r="H188" s="2"/>
      <c r="I188" s="2"/>
      <c r="J188" s="13"/>
    </row>
    <row r="189" spans="3:10" x14ac:dyDescent="0.25">
      <c r="C189" s="12" t="s">
        <v>328</v>
      </c>
      <c r="D189" s="2" t="s">
        <v>329</v>
      </c>
      <c r="E189" s="2"/>
      <c r="F189" s="2">
        <v>0</v>
      </c>
      <c r="G189" s="2" t="s">
        <v>72</v>
      </c>
      <c r="H189" s="2"/>
      <c r="I189" s="2"/>
      <c r="J189" s="13"/>
    </row>
    <row r="190" spans="3:10" x14ac:dyDescent="0.25">
      <c r="C190" s="12" t="s">
        <v>330</v>
      </c>
      <c r="D190" s="2" t="s">
        <v>862</v>
      </c>
      <c r="E190" s="2"/>
      <c r="F190" s="2">
        <v>1</v>
      </c>
      <c r="G190" s="2" t="s">
        <v>72</v>
      </c>
      <c r="H190" s="2"/>
      <c r="I190" s="2"/>
      <c r="J190" s="13"/>
    </row>
    <row r="191" spans="3:10" x14ac:dyDescent="0.25">
      <c r="C191" s="12" t="s">
        <v>332</v>
      </c>
      <c r="D191" s="2" t="s">
        <v>863</v>
      </c>
      <c r="E191" s="2"/>
      <c r="F191" s="2">
        <v>100</v>
      </c>
      <c r="G191" s="2" t="s">
        <v>25</v>
      </c>
      <c r="H191" s="2"/>
      <c r="I191" s="2"/>
      <c r="J191" s="13"/>
    </row>
    <row r="192" spans="3:10" x14ac:dyDescent="0.25">
      <c r="C192" s="12" t="s">
        <v>334</v>
      </c>
      <c r="D192" s="2" t="s">
        <v>864</v>
      </c>
      <c r="E192" s="2"/>
      <c r="F192" s="2">
        <v>100</v>
      </c>
      <c r="G192" s="2" t="s">
        <v>25</v>
      </c>
      <c r="H192" s="2"/>
      <c r="I192" s="2"/>
      <c r="J192" s="13"/>
    </row>
    <row r="193" spans="3:10" x14ac:dyDescent="0.25">
      <c r="C193" s="12" t="s">
        <v>336</v>
      </c>
      <c r="D193" s="2" t="s">
        <v>337</v>
      </c>
      <c r="E193" s="2"/>
      <c r="F193" s="2">
        <v>30</v>
      </c>
      <c r="G193" s="2" t="s">
        <v>25</v>
      </c>
      <c r="H193" s="2"/>
      <c r="I193" s="2"/>
      <c r="J193" s="13"/>
    </row>
    <row r="194" spans="3:10" x14ac:dyDescent="0.25">
      <c r="C194" s="12" t="s">
        <v>336</v>
      </c>
      <c r="D194" s="2" t="s">
        <v>338</v>
      </c>
      <c r="E194" s="2"/>
      <c r="F194" s="2">
        <v>1</v>
      </c>
      <c r="G194" s="2" t="s">
        <v>25</v>
      </c>
      <c r="H194" s="2"/>
      <c r="I194" s="2"/>
      <c r="J194" s="13"/>
    </row>
    <row r="195" spans="3:10" x14ac:dyDescent="0.25">
      <c r="C195" s="12" t="s">
        <v>339</v>
      </c>
      <c r="D195" s="2" t="s">
        <v>340</v>
      </c>
      <c r="E195" s="2"/>
      <c r="F195" s="2">
        <v>2</v>
      </c>
      <c r="G195" s="2" t="s">
        <v>25</v>
      </c>
      <c r="H195" s="2"/>
      <c r="I195" s="2"/>
      <c r="J195" s="13"/>
    </row>
    <row r="196" spans="3:10" x14ac:dyDescent="0.25">
      <c r="C196" s="12" t="s">
        <v>341</v>
      </c>
      <c r="D196" s="2" t="s">
        <v>865</v>
      </c>
      <c r="E196" s="2"/>
      <c r="F196" s="2">
        <v>20</v>
      </c>
      <c r="G196" s="2" t="s">
        <v>25</v>
      </c>
      <c r="H196" s="2"/>
      <c r="I196" s="2"/>
      <c r="J196" s="13"/>
    </row>
    <row r="197" spans="3:10" x14ac:dyDescent="0.25">
      <c r="C197" s="12" t="s">
        <v>343</v>
      </c>
      <c r="D197" s="2" t="s">
        <v>344</v>
      </c>
      <c r="E197" s="2"/>
      <c r="F197" s="2">
        <v>0</v>
      </c>
      <c r="G197" s="2" t="s">
        <v>72</v>
      </c>
      <c r="H197" s="2"/>
      <c r="I197" s="2"/>
      <c r="J197" s="13"/>
    </row>
    <row r="198" spans="3:10" x14ac:dyDescent="0.25">
      <c r="C198" s="12" t="s">
        <v>345</v>
      </c>
      <c r="D198" s="2" t="s">
        <v>346</v>
      </c>
      <c r="E198" s="2"/>
      <c r="F198" s="2">
        <v>100</v>
      </c>
      <c r="G198" s="2" t="s">
        <v>25</v>
      </c>
      <c r="H198" s="2"/>
      <c r="I198" s="2"/>
      <c r="J198" s="13"/>
    </row>
    <row r="199" spans="3:10" x14ac:dyDescent="0.25">
      <c r="C199" s="12" t="s">
        <v>345</v>
      </c>
      <c r="D199" s="2" t="s">
        <v>347</v>
      </c>
      <c r="E199" s="2"/>
      <c r="F199" s="2">
        <v>0</v>
      </c>
      <c r="G199" s="2" t="s">
        <v>72</v>
      </c>
      <c r="H199" s="2"/>
      <c r="I199" s="2"/>
      <c r="J199" s="13"/>
    </row>
    <row r="200" spans="3:10" x14ac:dyDescent="0.25">
      <c r="C200" s="12" t="s">
        <v>348</v>
      </c>
      <c r="D200" s="2" t="s">
        <v>349</v>
      </c>
      <c r="E200" s="2"/>
      <c r="F200" s="2">
        <v>100</v>
      </c>
      <c r="G200" s="2" t="s">
        <v>25</v>
      </c>
      <c r="H200" s="2"/>
      <c r="I200" s="2"/>
      <c r="J200" s="13"/>
    </row>
    <row r="201" spans="3:10" x14ac:dyDescent="0.25">
      <c r="C201" s="12" t="s">
        <v>350</v>
      </c>
      <c r="D201" s="2" t="s">
        <v>866</v>
      </c>
      <c r="E201" s="2"/>
      <c r="F201" s="2">
        <v>0</v>
      </c>
      <c r="G201" s="2" t="s">
        <v>72</v>
      </c>
      <c r="H201" s="2"/>
      <c r="I201" s="2"/>
      <c r="J201" s="13"/>
    </row>
    <row r="202" spans="3:10" x14ac:dyDescent="0.25">
      <c r="C202" s="12" t="s">
        <v>352</v>
      </c>
      <c r="D202" s="2" t="s">
        <v>353</v>
      </c>
      <c r="E202" s="2"/>
      <c r="F202" s="2">
        <v>0</v>
      </c>
      <c r="G202" s="2" t="s">
        <v>72</v>
      </c>
      <c r="H202" s="2"/>
      <c r="I202" s="2"/>
      <c r="J202" s="13"/>
    </row>
    <row r="203" spans="3:10" x14ac:dyDescent="0.25">
      <c r="C203" s="12" t="s">
        <v>354</v>
      </c>
      <c r="D203" s="2" t="s">
        <v>355</v>
      </c>
      <c r="E203" s="2"/>
      <c r="F203" s="2">
        <v>0</v>
      </c>
      <c r="G203" s="2" t="s">
        <v>72</v>
      </c>
      <c r="H203" s="2"/>
      <c r="I203" s="2"/>
      <c r="J203" s="13"/>
    </row>
    <row r="204" spans="3:10" ht="16" x14ac:dyDescent="0.35">
      <c r="C204" s="67"/>
      <c r="D204" s="33"/>
      <c r="E204" s="33"/>
      <c r="F204" s="33"/>
      <c r="G204" s="33"/>
      <c r="H204" s="53" t="s">
        <v>867</v>
      </c>
      <c r="I204" s="54"/>
      <c r="J204" s="25"/>
    </row>
    <row r="205" spans="3:10" ht="18" thickBot="1" x14ac:dyDescent="0.4">
      <c r="C205" s="70"/>
      <c r="D205" s="31"/>
      <c r="E205" s="31"/>
      <c r="F205" s="31"/>
      <c r="G205" s="31"/>
      <c r="H205" s="50" t="s">
        <v>952</v>
      </c>
      <c r="I205" s="72"/>
      <c r="J205" s="21"/>
    </row>
    <row r="206" spans="3:10" ht="17.5" x14ac:dyDescent="0.35">
      <c r="C206" s="64" t="s">
        <v>869</v>
      </c>
      <c r="D206" s="43"/>
      <c r="E206" s="43"/>
      <c r="F206" s="43"/>
      <c r="G206" s="43"/>
      <c r="H206" s="43"/>
      <c r="I206" s="44"/>
      <c r="J206" s="45"/>
    </row>
    <row r="207" spans="3:10" x14ac:dyDescent="0.25">
      <c r="C207" s="12" t="s">
        <v>356</v>
      </c>
      <c r="D207" s="2" t="s">
        <v>357</v>
      </c>
      <c r="E207" s="2"/>
      <c r="F207" s="2">
        <v>0</v>
      </c>
      <c r="G207" s="2" t="s">
        <v>72</v>
      </c>
      <c r="H207" s="2"/>
      <c r="I207" s="2"/>
      <c r="J207" s="13"/>
    </row>
    <row r="208" spans="3:10" x14ac:dyDescent="0.25">
      <c r="C208" s="12" t="s">
        <v>358</v>
      </c>
      <c r="D208" s="2" t="s">
        <v>359</v>
      </c>
      <c r="E208" s="2"/>
      <c r="F208" s="2">
        <v>1</v>
      </c>
      <c r="G208" s="2" t="s">
        <v>72</v>
      </c>
      <c r="H208" s="2"/>
      <c r="I208" s="2"/>
      <c r="J208" s="13"/>
    </row>
    <row r="209" spans="3:10" x14ac:dyDescent="0.25">
      <c r="C209" s="12" t="s">
        <v>360</v>
      </c>
      <c r="D209" s="2" t="s">
        <v>361</v>
      </c>
      <c r="E209" s="2"/>
      <c r="F209" s="2">
        <v>100</v>
      </c>
      <c r="G209" s="2" t="s">
        <v>25</v>
      </c>
      <c r="H209" s="2"/>
      <c r="I209" s="2"/>
      <c r="J209" s="13"/>
    </row>
    <row r="210" spans="3:10" x14ac:dyDescent="0.25">
      <c r="C210" s="12" t="s">
        <v>362</v>
      </c>
      <c r="D210" s="2" t="s">
        <v>363</v>
      </c>
      <c r="E210" s="2"/>
      <c r="F210" s="2">
        <v>3</v>
      </c>
      <c r="G210" s="2" t="s">
        <v>25</v>
      </c>
      <c r="H210" s="2"/>
      <c r="I210" s="2"/>
      <c r="J210" s="13"/>
    </row>
    <row r="211" spans="3:10" x14ac:dyDescent="0.25">
      <c r="C211" s="12" t="s">
        <v>364</v>
      </c>
      <c r="D211" s="2" t="s">
        <v>365</v>
      </c>
      <c r="E211" s="2"/>
      <c r="F211" s="2">
        <v>0</v>
      </c>
      <c r="G211" s="2" t="s">
        <v>72</v>
      </c>
      <c r="H211" s="2"/>
      <c r="I211" s="2"/>
      <c r="J211" s="13"/>
    </row>
    <row r="212" spans="3:10" x14ac:dyDescent="0.25">
      <c r="C212" s="12" t="s">
        <v>366</v>
      </c>
      <c r="D212" s="2" t="s">
        <v>367</v>
      </c>
      <c r="E212" s="2"/>
      <c r="F212" s="2">
        <v>0</v>
      </c>
      <c r="G212" s="2" t="s">
        <v>72</v>
      </c>
      <c r="H212" s="2"/>
      <c r="I212" s="2"/>
      <c r="J212" s="13"/>
    </row>
    <row r="213" spans="3:10" x14ac:dyDescent="0.25">
      <c r="C213" s="12" t="s">
        <v>368</v>
      </c>
      <c r="D213" s="2" t="s">
        <v>369</v>
      </c>
      <c r="E213" s="2"/>
      <c r="F213" s="2">
        <v>0</v>
      </c>
      <c r="G213" s="2" t="s">
        <v>72</v>
      </c>
      <c r="H213" s="2"/>
      <c r="I213" s="2"/>
      <c r="J213" s="13"/>
    </row>
    <row r="214" spans="3:10" ht="16" x14ac:dyDescent="0.35">
      <c r="C214" s="67"/>
      <c r="D214" s="33"/>
      <c r="E214" s="33"/>
      <c r="F214" s="33"/>
      <c r="G214" s="33"/>
      <c r="H214" s="53" t="s">
        <v>870</v>
      </c>
      <c r="I214" s="54"/>
      <c r="J214" s="25"/>
    </row>
    <row r="215" spans="3:10" ht="18" thickBot="1" x14ac:dyDescent="0.4">
      <c r="C215" s="70"/>
      <c r="D215" s="31"/>
      <c r="E215" s="31"/>
      <c r="F215" s="31"/>
      <c r="G215" s="31"/>
      <c r="H215" s="50" t="s">
        <v>953</v>
      </c>
      <c r="I215" s="72"/>
      <c r="J215" s="21"/>
    </row>
    <row r="216" spans="3:10" ht="17.5" x14ac:dyDescent="0.35">
      <c r="C216" s="64" t="s">
        <v>872</v>
      </c>
      <c r="D216" s="43"/>
      <c r="E216" s="43"/>
      <c r="F216" s="43"/>
      <c r="G216" s="43"/>
      <c r="H216" s="43"/>
      <c r="I216" s="44"/>
      <c r="J216" s="45"/>
    </row>
    <row r="217" spans="3:10" x14ac:dyDescent="0.25">
      <c r="C217" s="12" t="s">
        <v>370</v>
      </c>
      <c r="D217" s="2" t="s">
        <v>371</v>
      </c>
      <c r="E217" s="2"/>
      <c r="F217" s="2">
        <v>100</v>
      </c>
      <c r="G217" s="2" t="s">
        <v>25</v>
      </c>
      <c r="H217" s="2"/>
      <c r="I217" s="2"/>
      <c r="J217" s="13"/>
    </row>
    <row r="218" spans="3:10" x14ac:dyDescent="0.25">
      <c r="C218" s="12" t="s">
        <v>372</v>
      </c>
      <c r="D218" s="2" t="s">
        <v>873</v>
      </c>
      <c r="E218" s="2"/>
      <c r="F218" s="2">
        <v>100</v>
      </c>
      <c r="G218" s="2" t="s">
        <v>25</v>
      </c>
      <c r="H218" s="2"/>
      <c r="I218" s="2"/>
      <c r="J218" s="13"/>
    </row>
    <row r="219" spans="3:10" x14ac:dyDescent="0.25">
      <c r="C219" s="12" t="s">
        <v>372</v>
      </c>
      <c r="D219" s="2" t="s">
        <v>373</v>
      </c>
      <c r="E219" s="2"/>
      <c r="F219" s="2">
        <v>1</v>
      </c>
      <c r="G219" s="2" t="s">
        <v>72</v>
      </c>
      <c r="H219" s="2"/>
      <c r="I219" s="2"/>
      <c r="J219" s="13"/>
    </row>
    <row r="220" spans="3:10" x14ac:dyDescent="0.25">
      <c r="C220" s="12" t="s">
        <v>374</v>
      </c>
      <c r="D220" s="2" t="s">
        <v>375</v>
      </c>
      <c r="E220" s="2"/>
      <c r="F220" s="2">
        <v>100</v>
      </c>
      <c r="G220" s="2" t="s">
        <v>25</v>
      </c>
      <c r="H220" s="2"/>
      <c r="I220" s="2"/>
      <c r="J220" s="13"/>
    </row>
    <row r="221" spans="3:10" x14ac:dyDescent="0.25">
      <c r="C221" s="12" t="s">
        <v>376</v>
      </c>
      <c r="D221" s="2" t="s">
        <v>377</v>
      </c>
      <c r="E221" s="2"/>
      <c r="F221" s="2">
        <v>1</v>
      </c>
      <c r="G221" s="2" t="s">
        <v>72</v>
      </c>
      <c r="H221" s="2"/>
      <c r="I221" s="2"/>
      <c r="J221" s="13"/>
    </row>
    <row r="222" spans="3:10" x14ac:dyDescent="0.25">
      <c r="C222" s="12" t="s">
        <v>378</v>
      </c>
      <c r="D222" s="2" t="s">
        <v>874</v>
      </c>
      <c r="E222" s="2"/>
      <c r="F222" s="2">
        <v>0</v>
      </c>
      <c r="G222" s="2" t="s">
        <v>72</v>
      </c>
      <c r="H222" s="2"/>
      <c r="I222" s="2"/>
      <c r="J222" s="13"/>
    </row>
    <row r="223" spans="3:10" x14ac:dyDescent="0.25">
      <c r="C223" s="12" t="s">
        <v>380</v>
      </c>
      <c r="D223" s="2" t="s">
        <v>875</v>
      </c>
      <c r="E223" s="2"/>
      <c r="F223" s="2">
        <v>0</v>
      </c>
      <c r="G223" s="2" t="s">
        <v>72</v>
      </c>
      <c r="H223" s="2"/>
      <c r="I223" s="2"/>
      <c r="J223" s="13"/>
    </row>
    <row r="224" spans="3:10" x14ac:dyDescent="0.25">
      <c r="C224" s="12" t="s">
        <v>382</v>
      </c>
      <c r="D224" s="2" t="s">
        <v>876</v>
      </c>
      <c r="E224" s="2"/>
      <c r="F224" s="2">
        <v>1</v>
      </c>
      <c r="G224" s="2" t="s">
        <v>72</v>
      </c>
      <c r="H224" s="2"/>
      <c r="I224" s="2"/>
      <c r="J224" s="13"/>
    </row>
    <row r="225" spans="3:10" ht="16" x14ac:dyDescent="0.35">
      <c r="C225" s="67"/>
      <c r="D225" s="33"/>
      <c r="E225" s="33"/>
      <c r="F225" s="33"/>
      <c r="G225" s="33"/>
      <c r="H225" s="53" t="s">
        <v>877</v>
      </c>
      <c r="I225" s="54"/>
      <c r="J225" s="25"/>
    </row>
    <row r="226" spans="3:10" ht="18" thickBot="1" x14ac:dyDescent="0.4">
      <c r="C226" s="70" t="s">
        <v>954</v>
      </c>
      <c r="D226" s="31"/>
      <c r="E226" s="31"/>
      <c r="F226" s="31"/>
      <c r="G226" s="31"/>
      <c r="H226" s="50" t="s">
        <v>954</v>
      </c>
      <c r="I226" s="72"/>
      <c r="J226" s="21"/>
    </row>
    <row r="227" spans="3:10" ht="17.5" x14ac:dyDescent="0.35">
      <c r="C227" s="64" t="s">
        <v>879</v>
      </c>
      <c r="D227" s="43"/>
      <c r="E227" s="43"/>
      <c r="F227" s="43"/>
      <c r="G227" s="43"/>
      <c r="H227" s="43"/>
      <c r="I227" s="44"/>
      <c r="J227" s="45"/>
    </row>
    <row r="228" spans="3:10" x14ac:dyDescent="0.25">
      <c r="C228" s="12" t="s">
        <v>384</v>
      </c>
      <c r="D228" s="2" t="s">
        <v>385</v>
      </c>
      <c r="E228" s="2"/>
      <c r="F228" s="2">
        <v>1</v>
      </c>
      <c r="G228" s="2" t="s">
        <v>72</v>
      </c>
      <c r="H228" s="2"/>
      <c r="I228" s="2"/>
      <c r="J228" s="13"/>
    </row>
    <row r="229" spans="3:10" x14ac:dyDescent="0.25">
      <c r="C229" s="12" t="s">
        <v>384</v>
      </c>
      <c r="D229" s="2" t="s">
        <v>386</v>
      </c>
      <c r="E229" s="2"/>
      <c r="F229" s="2">
        <v>1</v>
      </c>
      <c r="G229" s="2" t="s">
        <v>72</v>
      </c>
      <c r="H229" s="2"/>
      <c r="I229" s="2"/>
      <c r="J229" s="13"/>
    </row>
    <row r="230" spans="3:10" x14ac:dyDescent="0.25">
      <c r="C230" s="12" t="s">
        <v>387</v>
      </c>
      <c r="D230" s="2" t="s">
        <v>388</v>
      </c>
      <c r="E230" s="2"/>
      <c r="F230" s="2">
        <v>2</v>
      </c>
      <c r="G230" s="2" t="s">
        <v>72</v>
      </c>
      <c r="H230" s="2"/>
      <c r="I230" s="2"/>
      <c r="J230" s="13"/>
    </row>
    <row r="231" spans="3:10" x14ac:dyDescent="0.25">
      <c r="C231" s="12" t="s">
        <v>389</v>
      </c>
      <c r="D231" s="2" t="s">
        <v>390</v>
      </c>
      <c r="E231" s="2"/>
      <c r="F231" s="2">
        <v>1</v>
      </c>
      <c r="G231" s="2" t="s">
        <v>72</v>
      </c>
      <c r="H231" s="2"/>
      <c r="I231" s="2"/>
      <c r="J231" s="13"/>
    </row>
    <row r="232" spans="3:10" ht="16" x14ac:dyDescent="0.35">
      <c r="C232" s="67"/>
      <c r="D232" s="33"/>
      <c r="E232" s="33"/>
      <c r="F232" s="33"/>
      <c r="G232" s="33"/>
      <c r="H232" s="53" t="s">
        <v>880</v>
      </c>
      <c r="I232" s="54"/>
      <c r="J232" s="25"/>
    </row>
    <row r="233" spans="3:10" ht="18" thickBot="1" x14ac:dyDescent="0.4">
      <c r="C233" s="70"/>
      <c r="D233" s="31"/>
      <c r="E233" s="31"/>
      <c r="F233" s="31"/>
      <c r="G233" s="31"/>
      <c r="H233" s="50" t="s">
        <v>955</v>
      </c>
      <c r="I233" s="72"/>
      <c r="J233" s="21"/>
    </row>
    <row r="234" spans="3:10" ht="17.5" x14ac:dyDescent="0.35">
      <c r="C234" s="64" t="s">
        <v>882</v>
      </c>
      <c r="D234" s="43"/>
      <c r="E234" s="43"/>
      <c r="F234" s="43"/>
      <c r="G234" s="43"/>
      <c r="H234" s="43"/>
      <c r="I234" s="44"/>
      <c r="J234" s="45"/>
    </row>
    <row r="235" spans="3:10" x14ac:dyDescent="0.25">
      <c r="C235" s="12" t="s">
        <v>392</v>
      </c>
      <c r="D235" s="2" t="s">
        <v>883</v>
      </c>
      <c r="E235" s="2"/>
      <c r="F235" s="2">
        <v>0</v>
      </c>
      <c r="G235" s="2" t="s">
        <v>25</v>
      </c>
      <c r="H235" s="2"/>
      <c r="I235" s="2"/>
      <c r="J235" s="13"/>
    </row>
    <row r="236" spans="3:10" x14ac:dyDescent="0.25">
      <c r="C236" s="12" t="s">
        <v>394</v>
      </c>
      <c r="D236" s="2" t="s">
        <v>395</v>
      </c>
      <c r="E236" s="2"/>
      <c r="F236" s="2">
        <v>14</v>
      </c>
      <c r="G236" s="2" t="s">
        <v>884</v>
      </c>
      <c r="H236" s="2"/>
      <c r="I236" s="2"/>
      <c r="J236" s="13"/>
    </row>
    <row r="237" spans="3:10" x14ac:dyDescent="0.25">
      <c r="C237" s="12" t="s">
        <v>396</v>
      </c>
      <c r="D237" s="2" t="s">
        <v>397</v>
      </c>
      <c r="E237" s="2"/>
      <c r="F237" s="2">
        <v>0</v>
      </c>
      <c r="G237" s="2" t="s">
        <v>25</v>
      </c>
      <c r="H237" s="2"/>
      <c r="I237" s="2"/>
      <c r="J237" s="13"/>
    </row>
    <row r="238" spans="3:10" x14ac:dyDescent="0.25">
      <c r="C238" s="12" t="s">
        <v>398</v>
      </c>
      <c r="D238" s="2" t="s">
        <v>399</v>
      </c>
      <c r="E238" s="2"/>
      <c r="F238" s="2">
        <v>1</v>
      </c>
      <c r="G238" s="2" t="s">
        <v>25</v>
      </c>
      <c r="H238" s="2"/>
      <c r="I238" s="2"/>
      <c r="J238" s="13"/>
    </row>
    <row r="239" spans="3:10" ht="16" x14ac:dyDescent="0.35">
      <c r="C239" s="67"/>
      <c r="D239" s="33"/>
      <c r="E239" s="33"/>
      <c r="F239" s="33"/>
      <c r="G239" s="33"/>
      <c r="H239" s="53" t="s">
        <v>885</v>
      </c>
      <c r="I239" s="54"/>
      <c r="J239" s="25"/>
    </row>
    <row r="240" spans="3:10" ht="18" thickBot="1" x14ac:dyDescent="0.4">
      <c r="C240" s="70"/>
      <c r="D240" s="31"/>
      <c r="E240" s="31"/>
      <c r="F240" s="31"/>
      <c r="G240" s="31"/>
      <c r="H240" s="50" t="s">
        <v>956</v>
      </c>
      <c r="I240" s="72"/>
      <c r="J240" s="21"/>
    </row>
    <row r="241" spans="3:10" ht="17.5" x14ac:dyDescent="0.35">
      <c r="C241" s="64" t="s">
        <v>887</v>
      </c>
      <c r="D241" s="43"/>
      <c r="E241" s="43"/>
      <c r="F241" s="43"/>
      <c r="G241" s="43"/>
      <c r="H241" s="43"/>
      <c r="I241" s="44"/>
      <c r="J241" s="45"/>
    </row>
    <row r="242" spans="3:10" x14ac:dyDescent="0.25">
      <c r="C242" s="12" t="s">
        <v>400</v>
      </c>
      <c r="D242" s="2" t="s">
        <v>401</v>
      </c>
      <c r="E242" s="2"/>
      <c r="F242" s="2">
        <v>100</v>
      </c>
      <c r="G242" s="2" t="s">
        <v>25</v>
      </c>
      <c r="H242" s="2"/>
      <c r="I242" s="2"/>
      <c r="J242" s="13"/>
    </row>
    <row r="243" spans="3:10" x14ac:dyDescent="0.25">
      <c r="C243" s="12" t="s">
        <v>400</v>
      </c>
      <c r="D243" s="2" t="s">
        <v>402</v>
      </c>
      <c r="E243" s="2"/>
      <c r="F243" s="2">
        <v>1</v>
      </c>
      <c r="G243" s="2" t="s">
        <v>72</v>
      </c>
      <c r="H243" s="2"/>
      <c r="I243" s="2"/>
      <c r="J243" s="13"/>
    </row>
    <row r="244" spans="3:10" ht="16" x14ac:dyDescent="0.35">
      <c r="C244" s="67"/>
      <c r="D244" s="33"/>
      <c r="E244" s="33"/>
      <c r="F244" s="33"/>
      <c r="G244" s="33"/>
      <c r="H244" s="53" t="s">
        <v>888</v>
      </c>
      <c r="I244" s="54"/>
      <c r="J244" s="25"/>
    </row>
    <row r="245" spans="3:10" ht="18" thickBot="1" x14ac:dyDescent="0.4">
      <c r="C245" s="70"/>
      <c r="D245" s="31"/>
      <c r="E245" s="31"/>
      <c r="F245" s="31"/>
      <c r="G245" s="31"/>
      <c r="H245" s="50" t="s">
        <v>957</v>
      </c>
      <c r="I245" s="72"/>
      <c r="J245" s="21"/>
    </row>
    <row r="246" spans="3:10" ht="17.5" x14ac:dyDescent="0.35">
      <c r="C246" s="64" t="s">
        <v>890</v>
      </c>
      <c r="D246" s="43"/>
      <c r="E246" s="43"/>
      <c r="F246" s="43"/>
      <c r="G246" s="43"/>
      <c r="H246" s="43"/>
      <c r="I246" s="44"/>
      <c r="J246" s="45"/>
    </row>
    <row r="247" spans="3:10" x14ac:dyDescent="0.25">
      <c r="C247" s="12" t="s">
        <v>403</v>
      </c>
      <c r="D247" s="2" t="s">
        <v>404</v>
      </c>
      <c r="E247" s="2"/>
      <c r="F247" s="2">
        <v>100</v>
      </c>
      <c r="G247" s="2" t="s">
        <v>25</v>
      </c>
      <c r="H247" s="2"/>
      <c r="I247" s="2"/>
      <c r="J247" s="13"/>
    </row>
    <row r="248" spans="3:10" x14ac:dyDescent="0.25">
      <c r="C248" s="12" t="s">
        <v>403</v>
      </c>
      <c r="D248" s="2" t="s">
        <v>405</v>
      </c>
      <c r="E248" s="2"/>
      <c r="F248" s="2">
        <v>1E-3</v>
      </c>
      <c r="G248" s="2" t="s">
        <v>72</v>
      </c>
      <c r="H248" s="2"/>
      <c r="I248" s="2"/>
      <c r="J248" s="13"/>
    </row>
    <row r="249" spans="3:10" ht="16" x14ac:dyDescent="0.35">
      <c r="C249" s="67"/>
      <c r="D249" s="33"/>
      <c r="E249" s="33"/>
      <c r="F249" s="33"/>
      <c r="G249" s="33"/>
      <c r="H249" s="53" t="s">
        <v>891</v>
      </c>
      <c r="I249" s="54"/>
      <c r="J249" s="25"/>
    </row>
    <row r="250" spans="3:10" ht="18" thickBot="1" x14ac:dyDescent="0.4">
      <c r="C250" s="70"/>
      <c r="D250" s="31"/>
      <c r="E250" s="31"/>
      <c r="F250" s="31"/>
      <c r="G250" s="31"/>
      <c r="H250" s="50" t="s">
        <v>958</v>
      </c>
      <c r="I250" s="72"/>
      <c r="J250" s="21"/>
    </row>
    <row r="251" spans="3:10" ht="17.5" x14ac:dyDescent="0.35">
      <c r="C251" s="64" t="s">
        <v>893</v>
      </c>
      <c r="D251" s="43"/>
      <c r="E251" s="43"/>
      <c r="F251" s="43"/>
      <c r="G251" s="43"/>
      <c r="H251" s="43"/>
      <c r="I251" s="44"/>
      <c r="J251" s="45"/>
    </row>
    <row r="252" spans="3:10" x14ac:dyDescent="0.25">
      <c r="C252" s="12" t="s">
        <v>406</v>
      </c>
      <c r="D252" s="2" t="s">
        <v>894</v>
      </c>
      <c r="E252" s="2"/>
      <c r="F252" s="2">
        <v>100</v>
      </c>
      <c r="G252" s="2" t="s">
        <v>25</v>
      </c>
      <c r="H252" s="2"/>
      <c r="I252" s="2"/>
      <c r="J252" s="13"/>
    </row>
    <row r="253" spans="3:10" x14ac:dyDescent="0.25">
      <c r="C253" s="12" t="s">
        <v>406</v>
      </c>
      <c r="D253" s="2" t="s">
        <v>895</v>
      </c>
      <c r="E253" s="2"/>
      <c r="F253" s="2">
        <v>0</v>
      </c>
      <c r="G253" s="2" t="s">
        <v>72</v>
      </c>
      <c r="H253" s="2"/>
      <c r="I253" s="2"/>
      <c r="J253" s="13"/>
    </row>
    <row r="254" spans="3:10" ht="16" x14ac:dyDescent="0.35">
      <c r="C254" s="67"/>
      <c r="D254" s="33"/>
      <c r="E254" s="33"/>
      <c r="F254" s="33"/>
      <c r="G254" s="33"/>
      <c r="H254" s="53" t="s">
        <v>896</v>
      </c>
      <c r="I254" s="54"/>
      <c r="J254" s="25"/>
    </row>
    <row r="255" spans="3:10" ht="18" thickBot="1" x14ac:dyDescent="0.4">
      <c r="C255" s="70"/>
      <c r="D255" s="31"/>
      <c r="E255" s="31"/>
      <c r="F255" s="31"/>
      <c r="G255" s="31"/>
      <c r="H255" s="50" t="s">
        <v>959</v>
      </c>
      <c r="I255" s="72"/>
      <c r="J255" s="21"/>
    </row>
    <row r="256" spans="3:10" ht="17.5" x14ac:dyDescent="0.35">
      <c r="C256" s="64" t="s">
        <v>898</v>
      </c>
      <c r="D256" s="43"/>
      <c r="E256" s="43"/>
      <c r="F256" s="43"/>
      <c r="G256" s="43"/>
      <c r="H256" s="43"/>
      <c r="I256" s="44"/>
      <c r="J256" s="45"/>
    </row>
    <row r="257" spans="3:10" x14ac:dyDescent="0.25">
      <c r="C257" t="s">
        <v>407</v>
      </c>
      <c r="D257" t="s">
        <v>408</v>
      </c>
      <c r="F257">
        <v>100</v>
      </c>
      <c r="G257" t="s">
        <v>25</v>
      </c>
    </row>
    <row r="258" spans="3:10" x14ac:dyDescent="0.25">
      <c r="C258" t="s">
        <v>407</v>
      </c>
      <c r="D258" t="s">
        <v>899</v>
      </c>
      <c r="F258">
        <v>0</v>
      </c>
      <c r="G258" t="s">
        <v>27</v>
      </c>
    </row>
    <row r="259" spans="3:10" ht="16" x14ac:dyDescent="0.35">
      <c r="C259" s="67"/>
      <c r="D259" s="33"/>
      <c r="E259" s="33"/>
      <c r="F259" s="33"/>
      <c r="G259" s="33"/>
      <c r="H259" s="53" t="s">
        <v>900</v>
      </c>
      <c r="I259" s="54"/>
      <c r="J259" s="25"/>
    </row>
    <row r="260" spans="3:10" ht="18" thickBot="1" x14ac:dyDescent="0.4">
      <c r="C260" s="70"/>
      <c r="D260" s="31"/>
      <c r="E260" s="31"/>
      <c r="F260" s="31"/>
      <c r="G260" s="31"/>
      <c r="H260" s="50" t="s">
        <v>960</v>
      </c>
      <c r="I260" s="72"/>
      <c r="J260" s="21"/>
    </row>
    <row r="261" spans="3:10" ht="17.5" x14ac:dyDescent="0.35">
      <c r="C261" s="64" t="s">
        <v>902</v>
      </c>
      <c r="D261" s="43"/>
      <c r="E261" s="43"/>
      <c r="F261" s="43"/>
      <c r="G261" s="43"/>
      <c r="H261" s="43"/>
      <c r="I261" s="44"/>
      <c r="J261" s="45"/>
    </row>
    <row r="262" spans="3:10" x14ac:dyDescent="0.25">
      <c r="C262" s="12" t="s">
        <v>409</v>
      </c>
      <c r="D262" s="2" t="s">
        <v>410</v>
      </c>
      <c r="E262" s="2"/>
      <c r="F262" s="2">
        <v>1</v>
      </c>
      <c r="G262" s="2" t="s">
        <v>72</v>
      </c>
      <c r="H262" s="2"/>
      <c r="I262" s="2"/>
      <c r="J262" s="13"/>
    </row>
    <row r="263" spans="3:10" x14ac:dyDescent="0.25">
      <c r="C263" s="12" t="s">
        <v>411</v>
      </c>
      <c r="D263" s="2" t="s">
        <v>412</v>
      </c>
      <c r="E263" s="2"/>
      <c r="F263" s="2">
        <v>1</v>
      </c>
      <c r="G263" s="2" t="s">
        <v>72</v>
      </c>
      <c r="H263" s="2"/>
      <c r="I263" s="2"/>
      <c r="J263" s="13"/>
    </row>
    <row r="264" spans="3:10" ht="16" x14ac:dyDescent="0.35">
      <c r="C264" s="67"/>
      <c r="D264" s="33"/>
      <c r="E264" s="33"/>
      <c r="F264" s="33"/>
      <c r="G264" s="33"/>
      <c r="H264" s="53" t="s">
        <v>903</v>
      </c>
      <c r="I264" s="54"/>
      <c r="J264" s="25"/>
    </row>
    <row r="265" spans="3:10" ht="18" thickBot="1" x14ac:dyDescent="0.4">
      <c r="C265" s="70"/>
      <c r="D265" s="31"/>
      <c r="E265" s="31"/>
      <c r="F265" s="31"/>
      <c r="G265" s="31"/>
      <c r="H265" s="50" t="s">
        <v>961</v>
      </c>
      <c r="I265" s="72"/>
      <c r="J265" s="21"/>
    </row>
    <row r="266" spans="3:10" ht="17.5" x14ac:dyDescent="0.35">
      <c r="C266" s="64" t="s">
        <v>905</v>
      </c>
      <c r="D266" s="43"/>
      <c r="E266" s="43"/>
      <c r="F266" s="43"/>
      <c r="G266" s="43"/>
      <c r="H266" s="43"/>
      <c r="I266" s="44"/>
      <c r="J266" s="45"/>
    </row>
    <row r="267" spans="3:10" x14ac:dyDescent="0.25">
      <c r="C267" s="12" t="s">
        <v>413</v>
      </c>
      <c r="D267" s="2" t="s">
        <v>414</v>
      </c>
      <c r="E267" s="2"/>
      <c r="F267" s="2">
        <v>1</v>
      </c>
      <c r="G267" s="2" t="s">
        <v>72</v>
      </c>
      <c r="H267" s="2"/>
      <c r="I267" s="2"/>
      <c r="J267" s="13"/>
    </row>
    <row r="268" spans="3:10" x14ac:dyDescent="0.25">
      <c r="C268" s="12" t="s">
        <v>415</v>
      </c>
      <c r="D268" s="2" t="s">
        <v>416</v>
      </c>
      <c r="E268" s="2"/>
      <c r="F268" s="2">
        <v>1</v>
      </c>
      <c r="G268" s="2" t="s">
        <v>72</v>
      </c>
      <c r="H268" s="2"/>
      <c r="I268" s="2"/>
      <c r="J268" s="13"/>
    </row>
    <row r="269" spans="3:10" x14ac:dyDescent="0.25">
      <c r="C269" s="12" t="s">
        <v>417</v>
      </c>
      <c r="D269" s="2" t="s">
        <v>418</v>
      </c>
      <c r="E269" s="2"/>
      <c r="F269" s="2">
        <v>1</v>
      </c>
      <c r="G269" s="2" t="s">
        <v>72</v>
      </c>
      <c r="H269" s="2"/>
      <c r="I269" s="2"/>
      <c r="J269" s="13"/>
    </row>
    <row r="270" spans="3:10" x14ac:dyDescent="0.25">
      <c r="C270" s="12" t="s">
        <v>419</v>
      </c>
      <c r="D270" s="2" t="s">
        <v>420</v>
      </c>
      <c r="E270" s="2"/>
      <c r="F270" s="2">
        <v>0</v>
      </c>
      <c r="G270" s="2" t="s">
        <v>27</v>
      </c>
      <c r="H270" s="2"/>
      <c r="I270" s="2"/>
      <c r="J270" s="13"/>
    </row>
    <row r="271" spans="3:10" ht="16" x14ac:dyDescent="0.35">
      <c r="C271" s="67"/>
      <c r="D271" s="33"/>
      <c r="E271" s="33"/>
      <c r="F271" s="33"/>
      <c r="G271" s="33"/>
      <c r="H271" s="53" t="s">
        <v>906</v>
      </c>
      <c r="I271" s="54"/>
      <c r="J271" s="25"/>
    </row>
    <row r="272" spans="3:10" ht="18" thickBot="1" x14ac:dyDescent="0.4">
      <c r="C272" s="70"/>
      <c r="D272" s="31"/>
      <c r="E272" s="31"/>
      <c r="F272" s="31"/>
      <c r="G272" s="31"/>
      <c r="H272" s="50" t="s">
        <v>962</v>
      </c>
      <c r="I272" s="72"/>
      <c r="J272" s="21"/>
    </row>
    <row r="273" spans="3:10" ht="17.5" x14ac:dyDescent="0.35">
      <c r="C273" s="64" t="s">
        <v>908</v>
      </c>
      <c r="D273" s="43"/>
      <c r="E273" s="43"/>
      <c r="F273" s="43"/>
      <c r="G273" s="43"/>
      <c r="H273" s="43"/>
      <c r="I273" s="44"/>
      <c r="J273" s="45"/>
    </row>
    <row r="274" spans="3:10" x14ac:dyDescent="0.25">
      <c r="C274" s="12" t="s">
        <v>421</v>
      </c>
      <c r="D274" s="2" t="s">
        <v>422</v>
      </c>
      <c r="E274" s="2"/>
      <c r="F274" s="2">
        <v>1</v>
      </c>
      <c r="G274" s="2" t="s">
        <v>72</v>
      </c>
      <c r="H274" s="2"/>
      <c r="I274" s="2"/>
      <c r="J274" s="13"/>
    </row>
    <row r="275" spans="3:10" x14ac:dyDescent="0.25">
      <c r="C275" s="12" t="s">
        <v>423</v>
      </c>
      <c r="D275" s="2" t="s">
        <v>424</v>
      </c>
      <c r="E275" s="2"/>
      <c r="F275" s="2">
        <v>0</v>
      </c>
      <c r="G275" s="2" t="s">
        <v>72</v>
      </c>
      <c r="H275" s="2"/>
      <c r="I275" s="2"/>
      <c r="J275" s="13"/>
    </row>
    <row r="276" spans="3:10" x14ac:dyDescent="0.25">
      <c r="C276" s="12" t="s">
        <v>426</v>
      </c>
      <c r="D276" s="2" t="s">
        <v>427</v>
      </c>
      <c r="E276" s="2"/>
      <c r="F276" s="2">
        <v>0</v>
      </c>
      <c r="G276" s="2" t="s">
        <v>72</v>
      </c>
      <c r="H276" s="2"/>
      <c r="I276" s="2"/>
      <c r="J276" s="13"/>
    </row>
    <row r="277" spans="3:10" x14ac:dyDescent="0.25">
      <c r="C277" s="12" t="s">
        <v>428</v>
      </c>
      <c r="D277" s="2" t="s">
        <v>429</v>
      </c>
      <c r="E277" s="2"/>
      <c r="F277" s="2">
        <v>0</v>
      </c>
      <c r="G277" s="2" t="s">
        <v>72</v>
      </c>
      <c r="H277" s="2"/>
      <c r="I277" s="2"/>
      <c r="J277" s="13"/>
    </row>
    <row r="278" spans="3:10" ht="16" x14ac:dyDescent="0.35">
      <c r="C278" s="67"/>
      <c r="D278" s="33"/>
      <c r="E278" s="33"/>
      <c r="F278" s="33"/>
      <c r="G278" s="33"/>
      <c r="H278" s="53" t="s">
        <v>909</v>
      </c>
      <c r="I278" s="54"/>
      <c r="J278" s="25"/>
    </row>
    <row r="279" spans="3:10" ht="18" thickBot="1" x14ac:dyDescent="0.4">
      <c r="C279" s="70"/>
      <c r="D279" s="31"/>
      <c r="E279" s="31"/>
      <c r="F279" s="31"/>
      <c r="G279" s="31"/>
      <c r="H279" s="50" t="s">
        <v>963</v>
      </c>
      <c r="I279" s="72"/>
      <c r="J279" s="21"/>
    </row>
    <row r="280" spans="3:10" ht="17.5" x14ac:dyDescent="0.35">
      <c r="C280" s="64" t="s">
        <v>911</v>
      </c>
      <c r="D280" s="43"/>
      <c r="E280" s="43"/>
      <c r="F280" s="43"/>
      <c r="G280" s="43"/>
      <c r="H280" s="43"/>
      <c r="I280" s="44"/>
      <c r="J280" s="45"/>
    </row>
    <row r="281" spans="3:10" x14ac:dyDescent="0.25">
      <c r="C281" s="12" t="s">
        <v>430</v>
      </c>
      <c r="D281" s="2" t="s">
        <v>431</v>
      </c>
      <c r="E281" s="2"/>
      <c r="F281" s="2">
        <v>1</v>
      </c>
      <c r="G281" s="2" t="s">
        <v>72</v>
      </c>
      <c r="H281" s="2"/>
      <c r="I281" s="2"/>
      <c r="J281" s="13"/>
    </row>
    <row r="282" spans="3:10" x14ac:dyDescent="0.25">
      <c r="C282" s="12" t="s">
        <v>430</v>
      </c>
      <c r="D282" s="2" t="s">
        <v>912</v>
      </c>
      <c r="E282" s="2"/>
      <c r="F282" s="2">
        <v>4635.4544444444437</v>
      </c>
      <c r="G282" s="2" t="s">
        <v>309</v>
      </c>
      <c r="H282" s="2"/>
      <c r="I282" s="2"/>
      <c r="J282" s="13"/>
    </row>
    <row r="283" spans="3:10" x14ac:dyDescent="0.25">
      <c r="C283" s="12" t="s">
        <v>430</v>
      </c>
      <c r="D283" s="2" t="s">
        <v>432</v>
      </c>
      <c r="E283" s="2"/>
      <c r="F283" s="2">
        <v>2414.3944444444442</v>
      </c>
      <c r="G283" s="2" t="s">
        <v>309</v>
      </c>
      <c r="H283" s="2"/>
      <c r="I283" s="2"/>
      <c r="J283" s="13"/>
    </row>
    <row r="284" spans="3:10" x14ac:dyDescent="0.25">
      <c r="C284" s="12" t="s">
        <v>433</v>
      </c>
      <c r="D284" s="2" t="s">
        <v>434</v>
      </c>
      <c r="E284" s="2"/>
      <c r="F284" s="2">
        <v>0</v>
      </c>
      <c r="G284" s="2" t="s">
        <v>72</v>
      </c>
      <c r="H284" s="2"/>
      <c r="I284" s="2"/>
      <c r="J284" s="13"/>
    </row>
    <row r="285" spans="3:10" x14ac:dyDescent="0.25">
      <c r="C285" s="12" t="s">
        <v>435</v>
      </c>
      <c r="D285" s="2" t="s">
        <v>436</v>
      </c>
      <c r="E285" s="2"/>
      <c r="F285" s="2">
        <v>0</v>
      </c>
      <c r="G285" s="2" t="s">
        <v>72</v>
      </c>
      <c r="H285" s="2"/>
      <c r="I285" s="2"/>
      <c r="J285" s="13"/>
    </row>
    <row r="286" spans="3:10" x14ac:dyDescent="0.25">
      <c r="C286" s="12" t="s">
        <v>437</v>
      </c>
      <c r="D286" s="2" t="s">
        <v>438</v>
      </c>
      <c r="E286" s="2"/>
      <c r="F286" s="2">
        <v>0</v>
      </c>
      <c r="G286" s="2" t="s">
        <v>72</v>
      </c>
      <c r="H286" s="2"/>
      <c r="I286" s="2"/>
      <c r="J286" s="13"/>
    </row>
    <row r="287" spans="3:10" x14ac:dyDescent="0.25">
      <c r="C287" s="12" t="s">
        <v>439</v>
      </c>
      <c r="D287" s="2" t="s">
        <v>440</v>
      </c>
      <c r="E287" s="2"/>
      <c r="F287" s="2">
        <v>0</v>
      </c>
      <c r="G287" s="2" t="s">
        <v>72</v>
      </c>
      <c r="H287" s="2"/>
      <c r="I287" s="2"/>
      <c r="J287" s="13"/>
    </row>
    <row r="288" spans="3:10" x14ac:dyDescent="0.25">
      <c r="C288" s="12" t="s">
        <v>441</v>
      </c>
      <c r="D288" s="2" t="s">
        <v>442</v>
      </c>
      <c r="E288" s="2"/>
      <c r="F288" s="2">
        <v>1</v>
      </c>
      <c r="G288" s="2" t="s">
        <v>72</v>
      </c>
      <c r="H288" s="2"/>
      <c r="I288" s="2"/>
      <c r="J288" s="13"/>
    </row>
    <row r="289" spans="3:10" x14ac:dyDescent="0.25">
      <c r="C289" s="12" t="s">
        <v>433</v>
      </c>
      <c r="D289" s="2" t="s">
        <v>443</v>
      </c>
      <c r="E289" s="2"/>
      <c r="F289" s="2">
        <v>1230.26</v>
      </c>
      <c r="G289" s="2" t="s">
        <v>23</v>
      </c>
      <c r="H289" s="2"/>
      <c r="I289" s="2"/>
      <c r="J289" s="13"/>
    </row>
    <row r="290" spans="3:10" x14ac:dyDescent="0.25">
      <c r="C290" s="12" t="s">
        <v>433</v>
      </c>
      <c r="D290" s="2" t="s">
        <v>444</v>
      </c>
      <c r="E290" s="2"/>
      <c r="F290" s="2">
        <v>1456.67</v>
      </c>
      <c r="G290" s="2" t="s">
        <v>23</v>
      </c>
      <c r="H290" s="2"/>
      <c r="I290" s="2"/>
      <c r="J290" s="13"/>
    </row>
    <row r="291" spans="3:10" x14ac:dyDescent="0.25">
      <c r="C291" s="12" t="s">
        <v>433</v>
      </c>
      <c r="D291" s="2" t="s">
        <v>445</v>
      </c>
      <c r="E291" s="2"/>
      <c r="F291" s="2">
        <v>267</v>
      </c>
      <c r="G291" s="2" t="s">
        <v>23</v>
      </c>
      <c r="H291" s="2"/>
      <c r="I291" s="2"/>
      <c r="J291" s="13"/>
    </row>
    <row r="292" spans="3:10" x14ac:dyDescent="0.25">
      <c r="C292" s="12" t="s">
        <v>433</v>
      </c>
      <c r="D292" s="2" t="s">
        <v>446</v>
      </c>
      <c r="E292" s="2"/>
      <c r="F292" s="2">
        <v>5140.3</v>
      </c>
      <c r="G292" s="2" t="s">
        <v>27</v>
      </c>
      <c r="H292" s="2"/>
      <c r="I292" s="2"/>
      <c r="J292" s="13"/>
    </row>
    <row r="293" spans="3:10" x14ac:dyDescent="0.25">
      <c r="C293" s="12" t="s">
        <v>433</v>
      </c>
      <c r="D293" s="2" t="s">
        <v>447</v>
      </c>
      <c r="E293" s="2"/>
      <c r="F293" s="2">
        <v>1188.9100000000001</v>
      </c>
      <c r="G293" s="2" t="s">
        <v>27</v>
      </c>
      <c r="H293" s="2"/>
      <c r="I293" s="2"/>
      <c r="J293" s="13"/>
    </row>
    <row r="294" spans="3:10" x14ac:dyDescent="0.25">
      <c r="C294" s="12" t="s">
        <v>449</v>
      </c>
      <c r="D294" s="2" t="s">
        <v>450</v>
      </c>
      <c r="E294" s="2"/>
      <c r="F294" s="2">
        <v>1</v>
      </c>
      <c r="G294" s="2" t="s">
        <v>72</v>
      </c>
      <c r="H294" s="2"/>
      <c r="I294" s="2"/>
      <c r="J294" s="13"/>
    </row>
    <row r="295" spans="3:10" x14ac:dyDescent="0.25">
      <c r="C295" s="12" t="s">
        <v>451</v>
      </c>
      <c r="D295" s="2" t="s">
        <v>913</v>
      </c>
      <c r="E295" s="2"/>
      <c r="F295" s="2">
        <v>1</v>
      </c>
      <c r="G295" s="2" t="s">
        <v>72</v>
      </c>
      <c r="H295" s="2"/>
      <c r="I295" s="2"/>
      <c r="J295" s="13"/>
    </row>
    <row r="296" spans="3:10" x14ac:dyDescent="0.25">
      <c r="C296" s="12" t="s">
        <v>453</v>
      </c>
      <c r="D296" s="2" t="s">
        <v>454</v>
      </c>
      <c r="E296" s="2"/>
      <c r="F296" s="2">
        <v>0</v>
      </c>
      <c r="G296" s="2" t="s">
        <v>72</v>
      </c>
      <c r="H296" s="2"/>
      <c r="I296" s="2"/>
      <c r="J296" s="13"/>
    </row>
    <row r="297" spans="3:10" x14ac:dyDescent="0.25">
      <c r="C297" s="12" t="s">
        <v>455</v>
      </c>
      <c r="D297" s="2" t="s">
        <v>456</v>
      </c>
      <c r="E297" s="2"/>
      <c r="F297" s="2">
        <v>1</v>
      </c>
      <c r="G297" s="2" t="s">
        <v>72</v>
      </c>
      <c r="H297" s="2"/>
      <c r="I297" s="2"/>
      <c r="J297" s="13"/>
    </row>
    <row r="298" spans="3:10" ht="16" x14ac:dyDescent="0.35">
      <c r="C298" s="67"/>
      <c r="D298" s="33"/>
      <c r="E298" s="33"/>
      <c r="F298" s="33"/>
      <c r="G298" s="33"/>
      <c r="H298" s="53" t="s">
        <v>914</v>
      </c>
      <c r="I298" s="54"/>
      <c r="J298" s="25"/>
    </row>
    <row r="299" spans="3:10" ht="18" thickBot="1" x14ac:dyDescent="0.4">
      <c r="C299" s="70"/>
      <c r="D299" s="31"/>
      <c r="E299" s="31"/>
      <c r="F299" s="31"/>
      <c r="G299" s="31"/>
      <c r="H299" s="50" t="s">
        <v>964</v>
      </c>
      <c r="I299" s="72"/>
      <c r="J299" s="21"/>
    </row>
    <row r="300" spans="3:10" ht="17.5" x14ac:dyDescent="0.35">
      <c r="C300" s="64" t="s">
        <v>916</v>
      </c>
      <c r="D300" s="43"/>
      <c r="E300" s="43"/>
      <c r="F300" s="43"/>
      <c r="G300" s="43"/>
      <c r="H300" s="43"/>
      <c r="I300" s="44"/>
      <c r="J300" s="45"/>
    </row>
    <row r="301" spans="3:10" x14ac:dyDescent="0.25">
      <c r="C301" s="12" t="s">
        <v>457</v>
      </c>
      <c r="D301" s="2" t="s">
        <v>458</v>
      </c>
      <c r="E301" s="2"/>
      <c r="F301" s="2">
        <v>1</v>
      </c>
      <c r="G301" s="2" t="s">
        <v>72</v>
      </c>
      <c r="H301" s="2"/>
      <c r="I301" s="2"/>
      <c r="J301" s="13"/>
    </row>
    <row r="302" spans="3:10" x14ac:dyDescent="0.25">
      <c r="C302" s="12" t="s">
        <v>457</v>
      </c>
      <c r="D302" s="2" t="s">
        <v>459</v>
      </c>
      <c r="E302" s="2"/>
      <c r="F302" s="2">
        <v>465</v>
      </c>
      <c r="G302" s="2" t="s">
        <v>23</v>
      </c>
      <c r="H302" s="2"/>
      <c r="I302" s="2"/>
      <c r="J302" s="13"/>
    </row>
    <row r="303" spans="3:10" x14ac:dyDescent="0.25">
      <c r="C303" s="12" t="s">
        <v>457</v>
      </c>
      <c r="D303" s="2" t="s">
        <v>460</v>
      </c>
      <c r="E303" s="2"/>
      <c r="F303" s="2">
        <v>60</v>
      </c>
      <c r="G303" s="2" t="s">
        <v>23</v>
      </c>
      <c r="H303" s="2"/>
      <c r="I303" s="2"/>
      <c r="J303" s="13"/>
    </row>
    <row r="304" spans="3:10" x14ac:dyDescent="0.25">
      <c r="C304" s="12" t="s">
        <v>457</v>
      </c>
      <c r="D304" s="2" t="s">
        <v>917</v>
      </c>
      <c r="E304" s="2"/>
      <c r="F304" s="2">
        <v>282</v>
      </c>
      <c r="G304" s="2" t="s">
        <v>23</v>
      </c>
      <c r="H304" s="2"/>
      <c r="I304" s="2"/>
      <c r="J304" s="13"/>
    </row>
    <row r="305" spans="3:10" ht="16" x14ac:dyDescent="0.35">
      <c r="C305" s="67"/>
      <c r="D305" s="33"/>
      <c r="E305" s="33"/>
      <c r="F305" s="33"/>
      <c r="G305" s="33"/>
      <c r="H305" s="53" t="s">
        <v>918</v>
      </c>
      <c r="I305" s="54"/>
      <c r="J305" s="25"/>
    </row>
    <row r="306" spans="3:10" ht="18" thickBot="1" x14ac:dyDescent="0.4">
      <c r="C306" s="70"/>
      <c r="D306" s="31"/>
      <c r="E306" s="31"/>
      <c r="F306" s="31"/>
      <c r="G306" s="31"/>
      <c r="H306" s="50" t="s">
        <v>965</v>
      </c>
      <c r="I306" s="72"/>
      <c r="J306" s="21"/>
    </row>
    <row r="307" spans="3:10" ht="17.5" x14ac:dyDescent="0.35">
      <c r="C307" s="64" t="s">
        <v>920</v>
      </c>
      <c r="D307" s="43"/>
      <c r="E307" s="43"/>
      <c r="F307" s="43"/>
      <c r="G307" s="43"/>
      <c r="H307" s="43"/>
      <c r="I307" s="44"/>
      <c r="J307" s="45"/>
    </row>
    <row r="308" spans="3:10" x14ac:dyDescent="0.25">
      <c r="C308" s="12" t="s">
        <v>461</v>
      </c>
      <c r="D308" s="2"/>
      <c r="E308" s="2"/>
      <c r="F308" s="2"/>
      <c r="G308" s="2"/>
      <c r="H308" s="2"/>
      <c r="I308" s="2"/>
      <c r="J308" s="13"/>
    </row>
    <row r="309" spans="3:10" ht="16" x14ac:dyDescent="0.35">
      <c r="C309" s="67"/>
      <c r="D309" s="33"/>
      <c r="E309" s="33"/>
      <c r="F309" s="33"/>
      <c r="G309" s="33"/>
      <c r="H309" s="53" t="s">
        <v>921</v>
      </c>
      <c r="I309" s="54"/>
      <c r="J309" s="25"/>
    </row>
    <row r="310" spans="3:10" ht="18" thickBot="1" x14ac:dyDescent="0.4">
      <c r="C310" s="70"/>
      <c r="D310" s="31"/>
      <c r="E310" s="31"/>
      <c r="F310" s="31"/>
      <c r="G310" s="31"/>
      <c r="H310" s="50" t="s">
        <v>966</v>
      </c>
      <c r="I310" s="72"/>
      <c r="J310" s="21"/>
    </row>
    <row r="311" spans="3:10" ht="17.5" x14ac:dyDescent="0.35">
      <c r="C311" s="64" t="s">
        <v>926</v>
      </c>
      <c r="D311" s="43"/>
      <c r="E311" s="43"/>
      <c r="F311" s="43"/>
      <c r="G311" s="43"/>
      <c r="H311" s="43"/>
      <c r="I311" s="44"/>
      <c r="J311" s="45"/>
    </row>
    <row r="312" spans="3:10" x14ac:dyDescent="0.25">
      <c r="C312" s="12" t="s">
        <v>468</v>
      </c>
      <c r="D312" s="2" t="s">
        <v>13</v>
      </c>
      <c r="E312" s="2"/>
      <c r="F312" s="2"/>
      <c r="G312" s="2"/>
      <c r="H312" s="2"/>
      <c r="I312" s="2"/>
      <c r="J312" s="13"/>
    </row>
    <row r="313" spans="3:10" x14ac:dyDescent="0.25">
      <c r="C313" s="12" t="s">
        <v>469</v>
      </c>
      <c r="D313" s="2" t="s">
        <v>14</v>
      </c>
      <c r="E313" s="2"/>
      <c r="F313" s="2"/>
      <c r="G313" s="2"/>
      <c r="H313" s="2"/>
      <c r="I313" s="2"/>
      <c r="J313" s="13"/>
    </row>
    <row r="314" spans="3:10" x14ac:dyDescent="0.25">
      <c r="C314" s="12" t="s">
        <v>470</v>
      </c>
      <c r="D314" s="2" t="s">
        <v>15</v>
      </c>
      <c r="E314" s="2"/>
      <c r="F314" s="2"/>
      <c r="G314" s="2"/>
      <c r="H314" s="2"/>
      <c r="I314" s="2"/>
      <c r="J314" s="13"/>
    </row>
    <row r="315" spans="3:10" x14ac:dyDescent="0.25">
      <c r="C315" s="12" t="s">
        <v>471</v>
      </c>
      <c r="D315" s="2" t="s">
        <v>16</v>
      </c>
      <c r="E315" s="2"/>
      <c r="F315" s="2"/>
      <c r="G315" s="2"/>
      <c r="H315" s="2"/>
      <c r="I315" s="2"/>
      <c r="J315" s="13"/>
    </row>
    <row r="316" spans="3:10" x14ac:dyDescent="0.25">
      <c r="C316" s="12" t="s">
        <v>472</v>
      </c>
      <c r="D316" s="2" t="s">
        <v>17</v>
      </c>
      <c r="E316" s="2"/>
      <c r="F316" s="2"/>
      <c r="G316" s="2"/>
      <c r="H316" s="2"/>
      <c r="I316" s="2"/>
      <c r="J316" s="13"/>
    </row>
    <row r="317" spans="3:10" x14ac:dyDescent="0.25">
      <c r="C317" s="12" t="s">
        <v>473</v>
      </c>
      <c r="D317" s="2" t="s">
        <v>18</v>
      </c>
      <c r="E317" s="2"/>
      <c r="F317" s="2"/>
      <c r="G317" s="2"/>
      <c r="H317" s="2"/>
      <c r="I317" s="2"/>
      <c r="J317" s="13"/>
    </row>
    <row r="318" spans="3:10" x14ac:dyDescent="0.25">
      <c r="C318" s="12" t="s">
        <v>474</v>
      </c>
      <c r="D318" s="2" t="s">
        <v>19</v>
      </c>
      <c r="E318" s="2"/>
      <c r="F318" s="2"/>
      <c r="G318" s="2"/>
      <c r="H318" s="2"/>
      <c r="I318" s="2"/>
      <c r="J318" s="13"/>
    </row>
    <row r="319" spans="3:10" ht="16" x14ac:dyDescent="0.35">
      <c r="C319" s="67"/>
      <c r="D319" s="33"/>
      <c r="E319" s="33"/>
      <c r="F319" s="33"/>
      <c r="G319" s="33"/>
      <c r="H319" s="53" t="s">
        <v>927</v>
      </c>
      <c r="I319" s="54"/>
      <c r="J319" s="25"/>
    </row>
    <row r="320" spans="3:10" ht="18" thickBot="1" x14ac:dyDescent="0.4">
      <c r="C320" s="71"/>
      <c r="D320" s="59"/>
      <c r="E320" s="59"/>
      <c r="F320" s="59"/>
      <c r="G320" s="31"/>
      <c r="H320" s="50" t="s">
        <v>967</v>
      </c>
      <c r="I320" s="72"/>
      <c r="J320" s="6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FADC-D7FA-4DE3-BB14-6481D8B7864F}">
  <sheetPr codeName="Sheet3"/>
  <dimension ref="C3:M394"/>
  <sheetViews>
    <sheetView zoomScale="85" zoomScaleNormal="85" workbookViewId="0">
      <pane xSplit="2" ySplit="5" topLeftCell="C30" activePane="bottomRight" state="frozen"/>
      <selection pane="topRight" activeCell="C1" sqref="C1"/>
      <selection pane="bottomLeft" activeCell="A6" sqref="A6"/>
      <selection pane="bottomRight" activeCell="I49" sqref="I49"/>
    </sheetView>
  </sheetViews>
  <sheetFormatPr defaultRowHeight="12.5" x14ac:dyDescent="0.25"/>
  <cols>
    <col min="3" max="3" width="10.453125" customWidth="1"/>
    <col min="4" max="4" width="47.26953125" bestFit="1" customWidth="1"/>
    <col min="5" max="5" width="23.81640625" customWidth="1"/>
    <col min="6" max="6" width="17.81640625" customWidth="1"/>
    <col min="7" max="7" width="5.7265625" bestFit="1" customWidth="1"/>
    <col min="8" max="8" width="13.54296875" customWidth="1"/>
    <col min="9" max="9" width="18.81640625" customWidth="1"/>
    <col min="10" max="10" width="15.26953125" bestFit="1" customWidth="1"/>
    <col min="11" max="11" width="3.26953125" customWidth="1"/>
    <col min="12" max="12" width="15.1796875" customWidth="1"/>
    <col min="13" max="13" width="20" customWidth="1"/>
  </cols>
  <sheetData>
    <row r="3" spans="3:13" x14ac:dyDescent="0.25">
      <c r="J3" s="28" t="s">
        <v>931</v>
      </c>
    </row>
    <row r="4" spans="3:13" ht="13" thickBot="1" x14ac:dyDescent="0.3">
      <c r="J4">
        <v>0</v>
      </c>
    </row>
    <row r="5" spans="3:13" ht="15.5" thickBot="1" x14ac:dyDescent="0.35">
      <c r="C5" s="47" t="s">
        <v>60</v>
      </c>
      <c r="D5" s="48" t="s">
        <v>20</v>
      </c>
      <c r="E5" s="48" t="s">
        <v>203</v>
      </c>
      <c r="F5" s="48" t="s">
        <v>29</v>
      </c>
      <c r="G5" s="48" t="s">
        <v>30</v>
      </c>
      <c r="H5" s="48" t="s">
        <v>61</v>
      </c>
      <c r="I5" s="48" t="s">
        <v>44</v>
      </c>
      <c r="J5" s="49" t="s">
        <v>932</v>
      </c>
      <c r="L5" s="46" t="s">
        <v>203</v>
      </c>
      <c r="M5" s="46" t="s">
        <v>943</v>
      </c>
    </row>
    <row r="6" spans="3:13" ht="17.5" x14ac:dyDescent="0.35">
      <c r="C6" s="224" t="s">
        <v>789</v>
      </c>
      <c r="D6" s="225"/>
      <c r="E6" s="225"/>
      <c r="F6" s="225"/>
      <c r="G6" s="225"/>
      <c r="H6" s="225"/>
      <c r="I6" s="57"/>
      <c r="J6" s="58"/>
      <c r="L6" s="2"/>
      <c r="M6" s="2"/>
    </row>
    <row r="7" spans="3:13" x14ac:dyDescent="0.25">
      <c r="C7" s="12" t="s">
        <v>158</v>
      </c>
      <c r="D7" s="2" t="s">
        <v>159</v>
      </c>
      <c r="E7" s="34"/>
      <c r="F7" s="17">
        <v>1</v>
      </c>
      <c r="G7" s="2" t="s">
        <v>72</v>
      </c>
      <c r="H7" s="19">
        <v>1000</v>
      </c>
      <c r="I7" s="23">
        <f>F7*H7</f>
        <v>1000</v>
      </c>
      <c r="J7" s="24">
        <f>IF($J$4=0, 0, I7/$J$4)</f>
        <v>0</v>
      </c>
      <c r="L7" s="2"/>
      <c r="M7" s="2"/>
    </row>
    <row r="8" spans="3:13" x14ac:dyDescent="0.25">
      <c r="C8" s="12" t="s">
        <v>132</v>
      </c>
      <c r="D8" s="2" t="s">
        <v>133</v>
      </c>
      <c r="E8" s="34"/>
      <c r="F8" s="17">
        <v>0</v>
      </c>
      <c r="G8" s="2" t="s">
        <v>72</v>
      </c>
      <c r="H8" s="19">
        <v>0</v>
      </c>
      <c r="I8" s="23">
        <f t="shared" ref="I8:I23" si="0">F8*H8</f>
        <v>0</v>
      </c>
      <c r="J8" s="24">
        <f t="shared" ref="J8:J23" si="1">IF($J$4=0, 0, I8/$J$4)</f>
        <v>0</v>
      </c>
      <c r="L8" s="2"/>
      <c r="M8" s="2"/>
    </row>
    <row r="9" spans="3:13" x14ac:dyDescent="0.25">
      <c r="C9" s="12" t="s">
        <v>160</v>
      </c>
      <c r="D9" s="2" t="s">
        <v>161</v>
      </c>
      <c r="E9" s="34"/>
      <c r="F9" s="17">
        <v>100</v>
      </c>
      <c r="G9" s="2" t="s">
        <v>25</v>
      </c>
      <c r="H9" s="19">
        <v>0</v>
      </c>
      <c r="I9" s="23">
        <f t="shared" si="0"/>
        <v>0</v>
      </c>
      <c r="J9" s="24">
        <f t="shared" si="1"/>
        <v>0</v>
      </c>
      <c r="L9" s="2"/>
      <c r="M9" s="2"/>
    </row>
    <row r="10" spans="3:13" x14ac:dyDescent="0.25">
      <c r="C10" s="12" t="s">
        <v>134</v>
      </c>
      <c r="D10" s="2" t="s">
        <v>135</v>
      </c>
      <c r="E10" s="34"/>
      <c r="F10" s="17">
        <v>1039.2</v>
      </c>
      <c r="G10" s="2" t="s">
        <v>65</v>
      </c>
      <c r="H10" s="19">
        <v>0</v>
      </c>
      <c r="I10" s="23">
        <f t="shared" si="0"/>
        <v>0</v>
      </c>
      <c r="J10" s="24">
        <f t="shared" si="1"/>
        <v>0</v>
      </c>
      <c r="L10" s="2"/>
      <c r="M10" s="2"/>
    </row>
    <row r="11" spans="3:13" x14ac:dyDescent="0.25">
      <c r="C11" s="12" t="s">
        <v>134</v>
      </c>
      <c r="D11" s="2" t="s">
        <v>136</v>
      </c>
      <c r="E11" s="34"/>
      <c r="F11" s="17">
        <v>1558.8000000000002</v>
      </c>
      <c r="G11" s="2" t="s">
        <v>65</v>
      </c>
      <c r="H11" s="19">
        <v>0</v>
      </c>
      <c r="I11" s="23">
        <f t="shared" si="0"/>
        <v>0</v>
      </c>
      <c r="J11" s="24">
        <f t="shared" si="1"/>
        <v>0</v>
      </c>
      <c r="L11" s="2"/>
      <c r="M11" s="2"/>
    </row>
    <row r="12" spans="3:13" x14ac:dyDescent="0.25">
      <c r="C12" s="12" t="s">
        <v>137</v>
      </c>
      <c r="D12" s="2" t="s">
        <v>138</v>
      </c>
      <c r="E12" s="34"/>
      <c r="F12" s="17">
        <v>14</v>
      </c>
      <c r="G12" s="2" t="s">
        <v>91</v>
      </c>
      <c r="H12" s="19">
        <v>0</v>
      </c>
      <c r="I12" s="23">
        <f t="shared" si="0"/>
        <v>0</v>
      </c>
      <c r="J12" s="24">
        <f t="shared" si="1"/>
        <v>0</v>
      </c>
      <c r="L12" s="2"/>
      <c r="M12" s="2"/>
    </row>
    <row r="13" spans="3:13" x14ac:dyDescent="0.25">
      <c r="C13" s="12" t="s">
        <v>139</v>
      </c>
      <c r="D13" s="2" t="s">
        <v>140</v>
      </c>
      <c r="E13" s="34"/>
      <c r="F13" s="17">
        <v>300000</v>
      </c>
      <c r="G13" s="2" t="s">
        <v>27</v>
      </c>
      <c r="H13" s="19">
        <v>0</v>
      </c>
      <c r="I13" s="23">
        <f t="shared" si="0"/>
        <v>0</v>
      </c>
      <c r="J13" s="24">
        <f t="shared" si="1"/>
        <v>0</v>
      </c>
      <c r="L13" s="2"/>
      <c r="M13" s="2"/>
    </row>
    <row r="14" spans="3:13" x14ac:dyDescent="0.25">
      <c r="C14" s="12" t="s">
        <v>141</v>
      </c>
      <c r="D14" s="2" t="s">
        <v>142</v>
      </c>
      <c r="E14" s="34"/>
      <c r="F14" s="17">
        <v>0</v>
      </c>
      <c r="G14" s="2" t="s">
        <v>25</v>
      </c>
      <c r="H14" s="19">
        <v>0</v>
      </c>
      <c r="I14" s="23">
        <f t="shared" si="0"/>
        <v>0</v>
      </c>
      <c r="J14" s="24">
        <f t="shared" si="1"/>
        <v>0</v>
      </c>
      <c r="L14" s="2"/>
      <c r="M14" s="2"/>
    </row>
    <row r="15" spans="3:13" x14ac:dyDescent="0.25">
      <c r="C15" s="12" t="s">
        <v>143</v>
      </c>
      <c r="D15" s="2" t="s">
        <v>144</v>
      </c>
      <c r="E15" s="34"/>
      <c r="F15" s="17">
        <v>0</v>
      </c>
      <c r="G15" s="2" t="s">
        <v>23</v>
      </c>
      <c r="H15" s="19">
        <v>0</v>
      </c>
      <c r="I15" s="23">
        <f t="shared" si="0"/>
        <v>0</v>
      </c>
      <c r="J15" s="24">
        <f t="shared" si="1"/>
        <v>0</v>
      </c>
      <c r="L15" s="2"/>
      <c r="M15" s="2"/>
    </row>
    <row r="16" spans="3:13" x14ac:dyDescent="0.25">
      <c r="C16" s="12" t="s">
        <v>145</v>
      </c>
      <c r="D16" s="2" t="s">
        <v>146</v>
      </c>
      <c r="E16" s="34"/>
      <c r="F16" s="17">
        <v>1200</v>
      </c>
      <c r="G16" s="2" t="s">
        <v>23</v>
      </c>
      <c r="H16" s="19">
        <v>0</v>
      </c>
      <c r="I16" s="23">
        <f t="shared" si="0"/>
        <v>0</v>
      </c>
      <c r="J16" s="24">
        <f t="shared" si="1"/>
        <v>0</v>
      </c>
      <c r="L16" s="2"/>
      <c r="M16" s="2"/>
    </row>
    <row r="17" spans="3:13" x14ac:dyDescent="0.25">
      <c r="C17" s="12" t="s">
        <v>147</v>
      </c>
      <c r="D17" s="2" t="s">
        <v>148</v>
      </c>
      <c r="E17" s="34"/>
      <c r="F17" s="17">
        <v>600</v>
      </c>
      <c r="G17" s="2" t="s">
        <v>23</v>
      </c>
      <c r="H17" s="19">
        <v>0</v>
      </c>
      <c r="I17" s="23">
        <f t="shared" si="0"/>
        <v>0</v>
      </c>
      <c r="J17" s="24">
        <f t="shared" si="1"/>
        <v>0</v>
      </c>
      <c r="L17" s="2"/>
      <c r="M17" s="2"/>
    </row>
    <row r="18" spans="3:13" x14ac:dyDescent="0.25">
      <c r="C18" s="12" t="s">
        <v>149</v>
      </c>
      <c r="D18" s="2" t="s">
        <v>150</v>
      </c>
      <c r="E18" s="34"/>
      <c r="F18" s="17">
        <v>1</v>
      </c>
      <c r="G18" s="2" t="s">
        <v>72</v>
      </c>
      <c r="H18" s="19">
        <v>0</v>
      </c>
      <c r="I18" s="23">
        <f t="shared" si="0"/>
        <v>0</v>
      </c>
      <c r="J18" s="24">
        <f t="shared" si="1"/>
        <v>0</v>
      </c>
      <c r="L18" s="2"/>
      <c r="M18" s="2"/>
    </row>
    <row r="19" spans="3:13" x14ac:dyDescent="0.25">
      <c r="C19" s="12" t="s">
        <v>151</v>
      </c>
      <c r="D19" s="2" t="s">
        <v>152</v>
      </c>
      <c r="E19" s="34"/>
      <c r="F19" s="17">
        <v>6</v>
      </c>
      <c r="G19" s="2" t="s">
        <v>91</v>
      </c>
      <c r="H19" s="19">
        <v>0</v>
      </c>
      <c r="I19" s="23">
        <f t="shared" si="0"/>
        <v>0</v>
      </c>
      <c r="J19" s="24">
        <f t="shared" si="1"/>
        <v>0</v>
      </c>
      <c r="L19" s="2"/>
      <c r="M19" s="2"/>
    </row>
    <row r="20" spans="3:13" x14ac:dyDescent="0.25">
      <c r="C20" s="12" t="s">
        <v>153</v>
      </c>
      <c r="D20" s="2" t="s">
        <v>154</v>
      </c>
      <c r="E20" s="34"/>
      <c r="F20" s="17">
        <v>14</v>
      </c>
      <c r="G20" s="2" t="s">
        <v>91</v>
      </c>
      <c r="H20" s="19">
        <v>0</v>
      </c>
      <c r="I20" s="23">
        <f t="shared" si="0"/>
        <v>0</v>
      </c>
      <c r="J20" s="24">
        <f t="shared" si="1"/>
        <v>0</v>
      </c>
      <c r="L20" s="2"/>
      <c r="M20" s="2"/>
    </row>
    <row r="21" spans="3:13" x14ac:dyDescent="0.25">
      <c r="C21" s="12" t="s">
        <v>155</v>
      </c>
      <c r="D21" s="2" t="s">
        <v>156</v>
      </c>
      <c r="E21" s="34"/>
      <c r="F21" s="17">
        <v>14</v>
      </c>
      <c r="G21" s="2" t="s">
        <v>91</v>
      </c>
      <c r="H21" s="19">
        <v>0</v>
      </c>
      <c r="I21" s="23">
        <f t="shared" si="0"/>
        <v>0</v>
      </c>
      <c r="J21" s="24">
        <f t="shared" si="1"/>
        <v>0</v>
      </c>
      <c r="L21" s="2"/>
      <c r="M21" s="2"/>
    </row>
    <row r="22" spans="3:13" x14ac:dyDescent="0.25">
      <c r="C22" s="12" t="s">
        <v>157</v>
      </c>
      <c r="D22" s="2" t="s">
        <v>549</v>
      </c>
      <c r="E22" s="2"/>
      <c r="F22" s="18">
        <v>1</v>
      </c>
      <c r="G22" s="2" t="s">
        <v>25</v>
      </c>
      <c r="H22" s="19">
        <v>0</v>
      </c>
      <c r="I22" s="23">
        <f t="shared" si="0"/>
        <v>0</v>
      </c>
      <c r="J22" s="24">
        <f t="shared" si="1"/>
        <v>0</v>
      </c>
      <c r="L22" s="2"/>
      <c r="M22" s="2"/>
    </row>
    <row r="23" spans="3:13" x14ac:dyDescent="0.25">
      <c r="C23" s="12" t="s">
        <v>162</v>
      </c>
      <c r="D23" s="2" t="s">
        <v>163</v>
      </c>
      <c r="E23" s="2"/>
      <c r="F23" s="18">
        <v>0</v>
      </c>
      <c r="G23" s="2" t="s">
        <v>25</v>
      </c>
      <c r="H23" s="19">
        <v>0</v>
      </c>
      <c r="I23" s="23">
        <f t="shared" si="0"/>
        <v>0</v>
      </c>
      <c r="J23" s="24">
        <f t="shared" si="1"/>
        <v>0</v>
      </c>
      <c r="L23" s="2"/>
      <c r="M23" s="2"/>
    </row>
    <row r="24" spans="3:13" ht="16.5" thickBot="1" x14ac:dyDescent="0.4">
      <c r="C24" s="226" t="s">
        <v>790</v>
      </c>
      <c r="D24" s="227" t="s">
        <v>790</v>
      </c>
      <c r="E24" s="227"/>
      <c r="F24" s="227"/>
      <c r="G24" s="227"/>
      <c r="H24" s="228"/>
      <c r="I24" s="54">
        <f>SUM(I7:I23)</f>
        <v>1000</v>
      </c>
      <c r="J24" s="56">
        <f>IF($J$4=0, 0, I23/$J$4)</f>
        <v>0</v>
      </c>
    </row>
    <row r="25" spans="3:13" ht="13" thickBot="1" x14ac:dyDescent="0.3">
      <c r="C25" s="12" t="s">
        <v>164</v>
      </c>
      <c r="D25" s="2" t="s">
        <v>165</v>
      </c>
      <c r="E25" s="2"/>
      <c r="F25" s="18">
        <v>1</v>
      </c>
      <c r="G25" s="2" t="s">
        <v>72</v>
      </c>
      <c r="H25" s="19">
        <v>0</v>
      </c>
      <c r="I25" s="23">
        <f t="shared" ref="I25:I47" si="2">F25*H25</f>
        <v>0</v>
      </c>
      <c r="J25" s="24">
        <f t="shared" ref="J25:J49" si="3">IF($J$4=0, 0, I25/$J$4)</f>
        <v>0</v>
      </c>
      <c r="L25" s="37"/>
      <c r="M25" s="38"/>
    </row>
    <row r="26" spans="3:13" ht="16.5" thickBot="1" x14ac:dyDescent="0.4">
      <c r="C26" s="226" t="s">
        <v>791</v>
      </c>
      <c r="D26" s="227" t="s">
        <v>791</v>
      </c>
      <c r="E26" s="227"/>
      <c r="F26" s="227"/>
      <c r="G26" s="227"/>
      <c r="H26" s="228"/>
      <c r="I26" s="54">
        <f>SUM(I25)</f>
        <v>0</v>
      </c>
      <c r="J26" s="56">
        <f t="shared" si="3"/>
        <v>0</v>
      </c>
    </row>
    <row r="27" spans="3:13" x14ac:dyDescent="0.25">
      <c r="C27" s="12" t="s">
        <v>166</v>
      </c>
      <c r="D27" s="2" t="s">
        <v>167</v>
      </c>
      <c r="E27" s="2"/>
      <c r="F27" s="18">
        <v>0</v>
      </c>
      <c r="G27" s="2" t="s">
        <v>72</v>
      </c>
      <c r="H27" s="19">
        <v>0</v>
      </c>
      <c r="I27" s="23">
        <f t="shared" si="2"/>
        <v>0</v>
      </c>
      <c r="J27" s="24">
        <f t="shared" si="3"/>
        <v>0</v>
      </c>
      <c r="L27" s="39"/>
      <c r="M27" s="40"/>
    </row>
    <row r="28" spans="3:13" x14ac:dyDescent="0.25">
      <c r="C28" s="12" t="s">
        <v>168</v>
      </c>
      <c r="D28" s="2" t="s">
        <v>169</v>
      </c>
      <c r="E28" s="2"/>
      <c r="F28" s="18">
        <v>0</v>
      </c>
      <c r="G28" s="2" t="s">
        <v>25</v>
      </c>
      <c r="H28" s="19">
        <v>0</v>
      </c>
      <c r="I28" s="23">
        <f t="shared" si="2"/>
        <v>0</v>
      </c>
      <c r="J28" s="24">
        <f t="shared" si="3"/>
        <v>0</v>
      </c>
      <c r="L28" s="12"/>
      <c r="M28" s="13"/>
    </row>
    <row r="29" spans="3:13" x14ac:dyDescent="0.25">
      <c r="C29" s="12" t="s">
        <v>170</v>
      </c>
      <c r="D29" s="2" t="s">
        <v>171</v>
      </c>
      <c r="E29" s="2"/>
      <c r="F29" s="18">
        <v>1</v>
      </c>
      <c r="G29" s="2" t="s">
        <v>72</v>
      </c>
      <c r="H29" s="19">
        <v>0</v>
      </c>
      <c r="I29" s="23">
        <f t="shared" si="2"/>
        <v>0</v>
      </c>
      <c r="J29" s="24">
        <f t="shared" si="3"/>
        <v>0</v>
      </c>
      <c r="L29" s="12"/>
      <c r="M29" s="13"/>
    </row>
    <row r="30" spans="3:13" x14ac:dyDescent="0.25">
      <c r="C30" s="12" t="s">
        <v>172</v>
      </c>
      <c r="D30" s="2" t="s">
        <v>173</v>
      </c>
      <c r="E30" s="2"/>
      <c r="F30" s="18">
        <v>1</v>
      </c>
      <c r="G30" s="2" t="s">
        <v>72</v>
      </c>
      <c r="H30" s="19">
        <v>0</v>
      </c>
      <c r="I30" s="23">
        <f t="shared" si="2"/>
        <v>0</v>
      </c>
      <c r="J30" s="24">
        <f t="shared" si="3"/>
        <v>0</v>
      </c>
      <c r="L30" s="12"/>
      <c r="M30" s="13"/>
    </row>
    <row r="31" spans="3:13" x14ac:dyDescent="0.25">
      <c r="C31" s="12" t="s">
        <v>174</v>
      </c>
      <c r="D31" s="2" t="s">
        <v>175</v>
      </c>
      <c r="E31" s="2"/>
      <c r="F31" s="18">
        <v>0</v>
      </c>
      <c r="G31" s="2" t="s">
        <v>72</v>
      </c>
      <c r="H31" s="19">
        <v>0</v>
      </c>
      <c r="I31" s="23">
        <f t="shared" si="2"/>
        <v>0</v>
      </c>
      <c r="J31" s="24">
        <f t="shared" si="3"/>
        <v>0</v>
      </c>
      <c r="L31" s="12"/>
      <c r="M31" s="13"/>
    </row>
    <row r="32" spans="3:13" x14ac:dyDescent="0.25">
      <c r="C32" s="12" t="s">
        <v>176</v>
      </c>
      <c r="D32" s="2" t="s">
        <v>177</v>
      </c>
      <c r="E32" s="2"/>
      <c r="F32" s="18">
        <v>0</v>
      </c>
      <c r="G32" s="2" t="s">
        <v>72</v>
      </c>
      <c r="H32" s="19">
        <v>0</v>
      </c>
      <c r="I32" s="23">
        <f t="shared" si="2"/>
        <v>0</v>
      </c>
      <c r="J32" s="24">
        <f t="shared" si="3"/>
        <v>0</v>
      </c>
      <c r="L32" s="12"/>
      <c r="M32" s="13"/>
    </row>
    <row r="33" spans="3:13" ht="13" thickBot="1" x14ac:dyDescent="0.3">
      <c r="C33" s="12" t="s">
        <v>178</v>
      </c>
      <c r="D33" s="2" t="s">
        <v>179</v>
      </c>
      <c r="E33" s="2"/>
      <c r="F33" s="18">
        <v>0</v>
      </c>
      <c r="G33" s="2" t="s">
        <v>72</v>
      </c>
      <c r="H33" s="19">
        <v>0</v>
      </c>
      <c r="I33" s="23">
        <f t="shared" si="2"/>
        <v>0</v>
      </c>
      <c r="J33" s="24">
        <f t="shared" si="3"/>
        <v>0</v>
      </c>
      <c r="L33" s="41"/>
      <c r="M33" s="42"/>
    </row>
    <row r="34" spans="3:13" ht="16.5" thickBot="1" x14ac:dyDescent="0.4">
      <c r="C34" s="226" t="s">
        <v>792</v>
      </c>
      <c r="D34" s="227" t="s">
        <v>792</v>
      </c>
      <c r="E34" s="227"/>
      <c r="F34" s="227"/>
      <c r="G34" s="227"/>
      <c r="H34" s="228"/>
      <c r="I34" s="54">
        <f>SUM(I27:I33)</f>
        <v>0</v>
      </c>
      <c r="J34" s="56">
        <f t="shared" si="3"/>
        <v>0</v>
      </c>
    </row>
    <row r="35" spans="3:13" x14ac:dyDescent="0.25">
      <c r="C35" s="12" t="s">
        <v>180</v>
      </c>
      <c r="D35" s="2" t="s">
        <v>181</v>
      </c>
      <c r="E35" s="2"/>
      <c r="F35" s="18">
        <v>10</v>
      </c>
      <c r="G35" s="2" t="s">
        <v>91</v>
      </c>
      <c r="H35" s="19">
        <v>0</v>
      </c>
      <c r="I35" s="23">
        <f t="shared" si="2"/>
        <v>0</v>
      </c>
      <c r="J35" s="24">
        <f t="shared" si="3"/>
        <v>0</v>
      </c>
      <c r="L35" s="39"/>
      <c r="M35" s="40"/>
    </row>
    <row r="36" spans="3:13" x14ac:dyDescent="0.25">
      <c r="C36" s="12" t="s">
        <v>182</v>
      </c>
      <c r="D36" s="2" t="s">
        <v>183</v>
      </c>
      <c r="E36" s="2"/>
      <c r="F36" s="18">
        <v>0</v>
      </c>
      <c r="G36" s="2" t="s">
        <v>91</v>
      </c>
      <c r="H36" s="19">
        <v>0</v>
      </c>
      <c r="I36" s="23">
        <f t="shared" si="2"/>
        <v>0</v>
      </c>
      <c r="J36" s="24">
        <f t="shared" si="3"/>
        <v>0</v>
      </c>
      <c r="L36" s="12"/>
      <c r="M36" s="13"/>
    </row>
    <row r="37" spans="3:13" x14ac:dyDescent="0.25">
      <c r="C37" s="12" t="s">
        <v>184</v>
      </c>
      <c r="D37" s="2" t="s">
        <v>185</v>
      </c>
      <c r="E37" s="2"/>
      <c r="F37" s="18">
        <v>0</v>
      </c>
      <c r="G37" s="2" t="s">
        <v>91</v>
      </c>
      <c r="H37" s="19">
        <v>0</v>
      </c>
      <c r="I37" s="23">
        <f t="shared" si="2"/>
        <v>0</v>
      </c>
      <c r="J37" s="24">
        <f t="shared" si="3"/>
        <v>0</v>
      </c>
      <c r="L37" s="12"/>
      <c r="M37" s="13"/>
    </row>
    <row r="38" spans="3:13" x14ac:dyDescent="0.25">
      <c r="C38" s="12" t="s">
        <v>186</v>
      </c>
      <c r="D38" s="2" t="s">
        <v>187</v>
      </c>
      <c r="E38" s="2"/>
      <c r="F38" s="18">
        <v>14</v>
      </c>
      <c r="G38" s="2" t="s">
        <v>91</v>
      </c>
      <c r="H38" s="19">
        <v>0</v>
      </c>
      <c r="I38" s="23">
        <f t="shared" si="2"/>
        <v>0</v>
      </c>
      <c r="J38" s="24">
        <f t="shared" si="3"/>
        <v>0</v>
      </c>
      <c r="L38" s="12"/>
      <c r="M38" s="13"/>
    </row>
    <row r="39" spans="3:13" x14ac:dyDescent="0.25">
      <c r="C39" s="12" t="s">
        <v>188</v>
      </c>
      <c r="D39" s="2" t="s">
        <v>189</v>
      </c>
      <c r="E39" s="2"/>
      <c r="F39" s="18">
        <v>12</v>
      </c>
      <c r="G39" s="2" t="s">
        <v>91</v>
      </c>
      <c r="H39" s="19">
        <v>0</v>
      </c>
      <c r="I39" s="23">
        <f t="shared" si="2"/>
        <v>0</v>
      </c>
      <c r="J39" s="24">
        <f t="shared" si="3"/>
        <v>0</v>
      </c>
      <c r="L39" s="12"/>
      <c r="M39" s="13"/>
    </row>
    <row r="40" spans="3:13" ht="13" thickBot="1" x14ac:dyDescent="0.3">
      <c r="C40" s="12" t="s">
        <v>190</v>
      </c>
      <c r="D40" s="2" t="s">
        <v>191</v>
      </c>
      <c r="E40" s="2"/>
      <c r="F40" s="18">
        <v>12</v>
      </c>
      <c r="G40" s="2" t="s">
        <v>91</v>
      </c>
      <c r="H40" s="19">
        <v>0</v>
      </c>
      <c r="I40" s="23">
        <f t="shared" si="2"/>
        <v>0</v>
      </c>
      <c r="J40" s="24">
        <f t="shared" si="3"/>
        <v>0</v>
      </c>
      <c r="L40" s="41"/>
      <c r="M40" s="42"/>
    </row>
    <row r="41" spans="3:13" ht="16.5" thickBot="1" x14ac:dyDescent="0.4">
      <c r="C41" s="226" t="s">
        <v>793</v>
      </c>
      <c r="D41" s="227" t="s">
        <v>793</v>
      </c>
      <c r="E41" s="227"/>
      <c r="F41" s="227"/>
      <c r="G41" s="227"/>
      <c r="H41" s="228"/>
      <c r="I41" s="54">
        <f>SUM(I35:I40)</f>
        <v>0</v>
      </c>
      <c r="J41" s="56">
        <f t="shared" si="3"/>
        <v>0</v>
      </c>
      <c r="L41" s="26"/>
      <c r="M41" s="25"/>
    </row>
    <row r="42" spans="3:13" x14ac:dyDescent="0.25">
      <c r="C42" s="12" t="s">
        <v>192</v>
      </c>
      <c r="D42" s="2" t="s">
        <v>566</v>
      </c>
      <c r="E42" s="2"/>
      <c r="F42" s="18">
        <v>0</v>
      </c>
      <c r="G42" s="2" t="s">
        <v>72</v>
      </c>
      <c r="H42" s="19">
        <v>0</v>
      </c>
      <c r="I42" s="22">
        <f t="shared" si="2"/>
        <v>0</v>
      </c>
      <c r="J42" s="24">
        <f t="shared" si="3"/>
        <v>0</v>
      </c>
      <c r="L42" s="39"/>
      <c r="M42" s="40"/>
    </row>
    <row r="43" spans="3:13" x14ac:dyDescent="0.25">
      <c r="C43" s="12" t="s">
        <v>193</v>
      </c>
      <c r="D43" s="2" t="s">
        <v>194</v>
      </c>
      <c r="E43" s="2"/>
      <c r="F43" s="18">
        <v>0</v>
      </c>
      <c r="G43" s="2" t="s">
        <v>72</v>
      </c>
      <c r="H43" s="19">
        <v>0</v>
      </c>
      <c r="I43" s="22">
        <f t="shared" si="2"/>
        <v>0</v>
      </c>
      <c r="J43" s="24">
        <f t="shared" si="3"/>
        <v>0</v>
      </c>
      <c r="L43" s="12"/>
      <c r="M43" s="13"/>
    </row>
    <row r="44" spans="3:13" x14ac:dyDescent="0.25">
      <c r="C44" s="12" t="s">
        <v>195</v>
      </c>
      <c r="D44" s="2" t="s">
        <v>196</v>
      </c>
      <c r="E44" s="2"/>
      <c r="F44" s="18">
        <v>0</v>
      </c>
      <c r="G44" s="2" t="s">
        <v>72</v>
      </c>
      <c r="H44" s="19">
        <v>0</v>
      </c>
      <c r="I44" s="22">
        <f t="shared" si="2"/>
        <v>0</v>
      </c>
      <c r="J44" s="24">
        <f t="shared" si="3"/>
        <v>0</v>
      </c>
      <c r="L44" s="12"/>
      <c r="M44" s="13"/>
    </row>
    <row r="45" spans="3:13" x14ac:dyDescent="0.25">
      <c r="C45" s="12" t="s">
        <v>197</v>
      </c>
      <c r="D45" s="2" t="s">
        <v>198</v>
      </c>
      <c r="E45" s="2"/>
      <c r="F45" s="18">
        <v>1</v>
      </c>
      <c r="G45" s="2" t="s">
        <v>72</v>
      </c>
      <c r="H45" s="19">
        <v>0</v>
      </c>
      <c r="I45" s="22">
        <f t="shared" si="2"/>
        <v>0</v>
      </c>
      <c r="J45" s="24">
        <f t="shared" si="3"/>
        <v>0</v>
      </c>
      <c r="L45" s="12"/>
      <c r="M45" s="13"/>
    </row>
    <row r="46" spans="3:13" x14ac:dyDescent="0.25">
      <c r="C46" s="12" t="s">
        <v>199</v>
      </c>
      <c r="D46" s="2" t="s">
        <v>200</v>
      </c>
      <c r="E46" s="2"/>
      <c r="F46" s="18">
        <v>0</v>
      </c>
      <c r="G46" s="2" t="s">
        <v>72</v>
      </c>
      <c r="H46" s="19">
        <v>0</v>
      </c>
      <c r="I46" s="22">
        <f t="shared" si="2"/>
        <v>0</v>
      </c>
      <c r="J46" s="24">
        <f t="shared" si="3"/>
        <v>0</v>
      </c>
      <c r="L46" s="12"/>
      <c r="M46" s="13"/>
    </row>
    <row r="47" spans="3:13" ht="13" thickBot="1" x14ac:dyDescent="0.3">
      <c r="C47" s="12" t="s">
        <v>201</v>
      </c>
      <c r="D47" s="2" t="s">
        <v>202</v>
      </c>
      <c r="E47" s="2"/>
      <c r="F47" s="18">
        <v>0</v>
      </c>
      <c r="G47" s="2" t="s">
        <v>72</v>
      </c>
      <c r="H47" s="19">
        <v>0</v>
      </c>
      <c r="I47" s="22">
        <f t="shared" si="2"/>
        <v>0</v>
      </c>
      <c r="J47" s="24">
        <f t="shared" si="3"/>
        <v>0</v>
      </c>
      <c r="L47" s="41"/>
      <c r="M47" s="42"/>
    </row>
    <row r="48" spans="3:13" ht="16" x14ac:dyDescent="0.35">
      <c r="C48" s="226" t="s">
        <v>794</v>
      </c>
      <c r="D48" s="227"/>
      <c r="E48" s="227"/>
      <c r="F48" s="227"/>
      <c r="G48" s="227"/>
      <c r="H48" s="228"/>
      <c r="I48" s="54">
        <f>SUM(I42:I47)</f>
        <v>0</v>
      </c>
      <c r="J48" s="56">
        <f t="shared" si="3"/>
        <v>0</v>
      </c>
      <c r="L48" s="26"/>
      <c r="M48" s="25"/>
    </row>
    <row r="49" spans="3:13" ht="18" thickBot="1" x14ac:dyDescent="0.4">
      <c r="C49" s="221" t="s">
        <v>968</v>
      </c>
      <c r="D49" s="222"/>
      <c r="E49" s="222"/>
      <c r="F49" s="222"/>
      <c r="G49" s="222"/>
      <c r="H49" s="223"/>
      <c r="I49" s="51">
        <f>SUM(I41,I34,I26,I24)</f>
        <v>1000</v>
      </c>
      <c r="J49" s="51">
        <f t="shared" si="3"/>
        <v>0</v>
      </c>
      <c r="L49" s="27"/>
      <c r="M49" s="16"/>
    </row>
    <row r="50" spans="3:13" ht="15.5" thickBot="1" x14ac:dyDescent="0.35">
      <c r="C50" s="213" t="s">
        <v>796</v>
      </c>
      <c r="D50" s="214"/>
      <c r="E50" s="214"/>
      <c r="F50" s="214"/>
      <c r="G50" s="214"/>
      <c r="H50" s="214"/>
      <c r="I50" s="44"/>
      <c r="J50" s="45"/>
      <c r="L50" s="44"/>
      <c r="M50" s="45"/>
    </row>
    <row r="51" spans="3:13" x14ac:dyDescent="0.25">
      <c r="C51" s="12" t="s">
        <v>21</v>
      </c>
      <c r="D51" s="2" t="s">
        <v>206</v>
      </c>
      <c r="E51" s="2"/>
      <c r="F51" s="2">
        <v>1</v>
      </c>
      <c r="G51" s="2" t="s">
        <v>72</v>
      </c>
      <c r="H51" s="2"/>
      <c r="I51" s="2"/>
      <c r="J51" s="13"/>
      <c r="L51" s="39"/>
      <c r="M51" s="40"/>
    </row>
    <row r="52" spans="3:13" x14ac:dyDescent="0.25">
      <c r="C52" s="12" t="s">
        <v>21</v>
      </c>
      <c r="D52" s="2" t="s">
        <v>22</v>
      </c>
      <c r="E52" s="2"/>
      <c r="F52" s="2">
        <v>2050</v>
      </c>
      <c r="G52" s="2" t="s">
        <v>23</v>
      </c>
      <c r="H52" s="2"/>
      <c r="I52" s="2"/>
      <c r="J52" s="13"/>
      <c r="L52" s="12"/>
      <c r="M52" s="13"/>
    </row>
    <row r="53" spans="3:13" x14ac:dyDescent="0.25">
      <c r="C53" s="12" t="s">
        <v>21</v>
      </c>
      <c r="D53" s="2" t="s">
        <v>24</v>
      </c>
      <c r="E53" s="2"/>
      <c r="F53" s="2">
        <v>96</v>
      </c>
      <c r="G53" s="2" t="s">
        <v>25</v>
      </c>
      <c r="H53" s="2"/>
      <c r="I53" s="2"/>
      <c r="J53" s="13"/>
      <c r="L53" s="12"/>
      <c r="M53" s="13"/>
    </row>
    <row r="54" spans="3:13" x14ac:dyDescent="0.25">
      <c r="C54" s="12" t="s">
        <v>21</v>
      </c>
      <c r="D54" s="2" t="s">
        <v>26</v>
      </c>
      <c r="E54" s="2"/>
      <c r="F54" s="2">
        <v>18000</v>
      </c>
      <c r="G54" s="2" t="s">
        <v>27</v>
      </c>
      <c r="H54" s="2"/>
      <c r="I54" s="2"/>
      <c r="J54" s="13"/>
      <c r="L54" s="12"/>
      <c r="M54" s="13"/>
    </row>
    <row r="55" spans="3:13" x14ac:dyDescent="0.25">
      <c r="C55" s="12" t="s">
        <v>21</v>
      </c>
      <c r="D55" s="2" t="s">
        <v>28</v>
      </c>
      <c r="E55" s="2"/>
      <c r="F55" s="2">
        <v>60000</v>
      </c>
      <c r="G55" s="2" t="s">
        <v>27</v>
      </c>
      <c r="H55" s="2"/>
      <c r="I55" s="2"/>
      <c r="J55" s="13"/>
      <c r="L55" s="12"/>
      <c r="M55" s="13"/>
    </row>
    <row r="56" spans="3:13" x14ac:dyDescent="0.25">
      <c r="C56" s="12" t="s">
        <v>21</v>
      </c>
      <c r="D56" s="2" t="s">
        <v>208</v>
      </c>
      <c r="E56" s="2"/>
      <c r="F56" s="2">
        <v>704</v>
      </c>
      <c r="G56" s="2" t="s">
        <v>27</v>
      </c>
      <c r="H56" s="2"/>
      <c r="I56" s="2"/>
      <c r="J56" s="13"/>
      <c r="L56" s="12"/>
      <c r="M56" s="13"/>
    </row>
    <row r="57" spans="3:13" x14ac:dyDescent="0.25">
      <c r="C57" s="12" t="s">
        <v>21</v>
      </c>
      <c r="D57" s="2" t="s">
        <v>209</v>
      </c>
      <c r="E57" s="2"/>
      <c r="F57" s="2">
        <v>1</v>
      </c>
      <c r="G57" s="2" t="s">
        <v>27</v>
      </c>
      <c r="H57" s="2"/>
      <c r="I57" s="2"/>
      <c r="J57" s="13"/>
      <c r="L57" s="12"/>
      <c r="M57" s="13"/>
    </row>
    <row r="58" spans="3:13" x14ac:dyDescent="0.25">
      <c r="C58" s="12" t="s">
        <v>21</v>
      </c>
      <c r="D58" s="2" t="s">
        <v>210</v>
      </c>
      <c r="E58" s="2"/>
      <c r="F58" s="2">
        <v>1</v>
      </c>
      <c r="G58" s="2" t="s">
        <v>27</v>
      </c>
      <c r="H58" s="2"/>
      <c r="I58" s="2"/>
      <c r="J58" s="13"/>
      <c r="L58" s="12"/>
      <c r="M58" s="13"/>
    </row>
    <row r="59" spans="3:13" ht="13" thickBot="1" x14ac:dyDescent="0.3">
      <c r="C59" s="12" t="s">
        <v>21</v>
      </c>
      <c r="D59" s="2" t="s">
        <v>250</v>
      </c>
      <c r="E59" s="2"/>
      <c r="F59" s="2">
        <v>10</v>
      </c>
      <c r="G59" s="2" t="s">
        <v>27</v>
      </c>
      <c r="H59" s="2"/>
      <c r="I59" s="2"/>
      <c r="J59" s="13"/>
      <c r="L59" s="41"/>
      <c r="M59" s="42"/>
    </row>
    <row r="60" spans="3:13" ht="14.5" thickBot="1" x14ac:dyDescent="0.35">
      <c r="C60" s="218" t="s">
        <v>797</v>
      </c>
      <c r="D60" s="219"/>
      <c r="E60" s="219"/>
      <c r="F60" s="219"/>
      <c r="G60" s="219"/>
      <c r="H60" s="220"/>
      <c r="I60" s="26"/>
      <c r="J60" s="25"/>
    </row>
    <row r="61" spans="3:13" ht="13" thickBot="1" x14ac:dyDescent="0.3">
      <c r="C61" s="12" t="s">
        <v>211</v>
      </c>
      <c r="D61" s="2" t="s">
        <v>212</v>
      </c>
      <c r="E61" s="2"/>
      <c r="F61" s="2">
        <v>0</v>
      </c>
      <c r="G61" s="2" t="s">
        <v>27</v>
      </c>
      <c r="H61" s="2"/>
      <c r="I61" s="2"/>
      <c r="J61" s="13"/>
      <c r="L61" s="37"/>
      <c r="M61" s="38"/>
    </row>
    <row r="62" spans="3:13" ht="13" thickBot="1" x14ac:dyDescent="0.3">
      <c r="C62" s="215" t="s">
        <v>798</v>
      </c>
      <c r="D62" s="216"/>
      <c r="E62" s="216"/>
      <c r="F62" s="216"/>
      <c r="G62" s="216"/>
      <c r="H62" s="217"/>
      <c r="I62" s="14"/>
      <c r="J62" s="15"/>
    </row>
    <row r="63" spans="3:13" x14ac:dyDescent="0.25">
      <c r="C63" s="12" t="s">
        <v>31</v>
      </c>
      <c r="D63" s="2" t="s">
        <v>32</v>
      </c>
      <c r="E63" s="2"/>
      <c r="F63" s="2">
        <v>120000</v>
      </c>
      <c r="G63" s="2" t="s">
        <v>27</v>
      </c>
      <c r="H63" s="2"/>
      <c r="I63" s="2"/>
      <c r="J63" s="13"/>
      <c r="L63" s="39"/>
      <c r="M63" s="40"/>
    </row>
    <row r="64" spans="3:13" ht="13" thickBot="1" x14ac:dyDescent="0.3">
      <c r="C64" s="12" t="s">
        <v>213</v>
      </c>
      <c r="D64" s="2" t="s">
        <v>214</v>
      </c>
      <c r="E64" s="2"/>
      <c r="F64" s="2">
        <v>0</v>
      </c>
      <c r="G64" s="2" t="s">
        <v>27</v>
      </c>
      <c r="H64" s="2"/>
      <c r="I64" s="2"/>
      <c r="J64" s="13"/>
      <c r="L64" s="41"/>
      <c r="M64" s="42"/>
    </row>
    <row r="65" spans="3:13" ht="13" thickBot="1" x14ac:dyDescent="0.3">
      <c r="C65" s="215" t="s">
        <v>799</v>
      </c>
      <c r="D65" s="216"/>
      <c r="E65" s="216"/>
      <c r="F65" s="216"/>
      <c r="G65" s="216"/>
      <c r="H65" s="217"/>
      <c r="I65" s="14"/>
      <c r="J65" s="15"/>
    </row>
    <row r="66" spans="3:13" x14ac:dyDescent="0.25">
      <c r="C66" s="12" t="s">
        <v>33</v>
      </c>
      <c r="D66" s="2" t="s">
        <v>34</v>
      </c>
      <c r="E66" s="2"/>
      <c r="F66" s="2">
        <v>300000</v>
      </c>
      <c r="G66" s="2" t="s">
        <v>27</v>
      </c>
      <c r="H66" s="2"/>
      <c r="I66" s="2"/>
      <c r="J66" s="13"/>
      <c r="L66" s="39"/>
      <c r="M66" s="40"/>
    </row>
    <row r="67" spans="3:13" ht="13" thickBot="1" x14ac:dyDescent="0.3">
      <c r="C67" s="12" t="s">
        <v>33</v>
      </c>
      <c r="D67" s="2" t="s">
        <v>215</v>
      </c>
      <c r="E67" s="2"/>
      <c r="F67" s="2">
        <v>0</v>
      </c>
      <c r="G67" s="2" t="s">
        <v>27</v>
      </c>
      <c r="H67" s="2"/>
      <c r="I67" s="2"/>
      <c r="J67" s="13"/>
      <c r="L67" s="41"/>
      <c r="M67" s="42"/>
    </row>
    <row r="68" spans="3:13" x14ac:dyDescent="0.25">
      <c r="C68" s="215" t="s">
        <v>800</v>
      </c>
      <c r="D68" s="216"/>
      <c r="E68" s="216"/>
      <c r="F68" s="216"/>
      <c r="G68" s="216"/>
      <c r="H68" s="217"/>
      <c r="I68" s="14"/>
      <c r="J68" s="15"/>
      <c r="L68" s="14"/>
      <c r="M68" s="15"/>
    </row>
    <row r="69" spans="3:13" ht="14.5" thickBot="1" x14ac:dyDescent="0.35">
      <c r="C69" s="210" t="s">
        <v>945</v>
      </c>
      <c r="D69" s="211"/>
      <c r="E69" s="211"/>
      <c r="F69" s="211"/>
      <c r="G69" s="211"/>
      <c r="H69" s="212"/>
      <c r="I69" s="20"/>
      <c r="J69" s="21"/>
      <c r="L69" s="20"/>
      <c r="M69" s="21"/>
    </row>
    <row r="70" spans="3:13" ht="15.5" thickBot="1" x14ac:dyDescent="0.35">
      <c r="C70" s="213" t="s">
        <v>802</v>
      </c>
      <c r="D70" s="214"/>
      <c r="E70" s="214"/>
      <c r="F70" s="214"/>
      <c r="G70" s="214"/>
      <c r="H70" s="214"/>
      <c r="I70" s="44"/>
      <c r="J70" s="45"/>
      <c r="L70" s="44"/>
      <c r="M70" s="45"/>
    </row>
    <row r="71" spans="3:13" x14ac:dyDescent="0.25">
      <c r="C71" t="s">
        <v>35</v>
      </c>
      <c r="D71" t="s">
        <v>803</v>
      </c>
      <c r="F71">
        <v>30000</v>
      </c>
      <c r="G71" t="s">
        <v>27</v>
      </c>
      <c r="L71" s="39"/>
      <c r="M71" s="40"/>
    </row>
    <row r="72" spans="3:13" x14ac:dyDescent="0.25">
      <c r="C72" t="s">
        <v>35</v>
      </c>
      <c r="D72" t="s">
        <v>804</v>
      </c>
      <c r="F72">
        <v>0</v>
      </c>
      <c r="G72" t="s">
        <v>27</v>
      </c>
      <c r="L72" s="12"/>
      <c r="M72" s="13"/>
    </row>
    <row r="73" spans="3:13" ht="13" thickBot="1" x14ac:dyDescent="0.3">
      <c r="C73" t="s">
        <v>35</v>
      </c>
      <c r="D73" t="s">
        <v>36</v>
      </c>
      <c r="F73">
        <v>33075</v>
      </c>
      <c r="G73" t="s">
        <v>27</v>
      </c>
      <c r="L73" s="41"/>
      <c r="M73" s="42"/>
    </row>
    <row r="74" spans="3:13" x14ac:dyDescent="0.25">
      <c r="C74" s="215" t="s">
        <v>805</v>
      </c>
      <c r="D74" s="216"/>
      <c r="E74" s="216"/>
      <c r="F74" s="216"/>
      <c r="G74" s="216"/>
      <c r="H74" s="217"/>
      <c r="I74" s="14"/>
      <c r="J74" s="15"/>
    </row>
    <row r="75" spans="3:13" ht="14.5" thickBot="1" x14ac:dyDescent="0.35">
      <c r="C75" s="210" t="s">
        <v>946</v>
      </c>
      <c r="D75" s="211"/>
      <c r="E75" s="211"/>
      <c r="F75" s="211"/>
      <c r="G75" s="211"/>
      <c r="H75" s="212"/>
      <c r="I75" s="20"/>
      <c r="J75" s="21"/>
    </row>
    <row r="76" spans="3:13" ht="15" x14ac:dyDescent="0.3">
      <c r="C76" s="213" t="s">
        <v>807</v>
      </c>
      <c r="D76" s="214"/>
      <c r="E76" s="214"/>
      <c r="F76" s="214"/>
      <c r="G76" s="214"/>
      <c r="H76" s="214"/>
      <c r="I76" s="44"/>
      <c r="J76" s="45"/>
    </row>
    <row r="77" spans="3:13" x14ac:dyDescent="0.25">
      <c r="C77" t="s">
        <v>217</v>
      </c>
      <c r="D77" t="s">
        <v>218</v>
      </c>
      <c r="F77">
        <v>1</v>
      </c>
      <c r="G77" t="s">
        <v>72</v>
      </c>
    </row>
    <row r="78" spans="3:13" x14ac:dyDescent="0.25">
      <c r="C78" t="s">
        <v>219</v>
      </c>
      <c r="D78" t="s">
        <v>220</v>
      </c>
      <c r="F78">
        <v>1</v>
      </c>
      <c r="G78" t="s">
        <v>72</v>
      </c>
    </row>
    <row r="79" spans="3:13" x14ac:dyDescent="0.25">
      <c r="C79" t="s">
        <v>221</v>
      </c>
      <c r="D79" t="s">
        <v>222</v>
      </c>
      <c r="F79">
        <v>150</v>
      </c>
      <c r="G79" t="s">
        <v>25</v>
      </c>
    </row>
    <row r="80" spans="3:13" x14ac:dyDescent="0.25">
      <c r="C80" t="s">
        <v>221</v>
      </c>
      <c r="D80" t="s">
        <v>223</v>
      </c>
      <c r="F80">
        <v>5</v>
      </c>
      <c r="G80" t="s">
        <v>25</v>
      </c>
    </row>
    <row r="81" spans="3:10" x14ac:dyDescent="0.25">
      <c r="C81" t="s">
        <v>221</v>
      </c>
      <c r="D81" t="s">
        <v>808</v>
      </c>
      <c r="F81">
        <v>5</v>
      </c>
      <c r="G81" t="s">
        <v>25</v>
      </c>
    </row>
    <row r="82" spans="3:10" x14ac:dyDescent="0.25">
      <c r="C82" t="s">
        <v>221</v>
      </c>
      <c r="D82" t="s">
        <v>224</v>
      </c>
      <c r="F82">
        <v>15</v>
      </c>
      <c r="G82" t="s">
        <v>23</v>
      </c>
    </row>
    <row r="83" spans="3:10" x14ac:dyDescent="0.25">
      <c r="C83" t="s">
        <v>221</v>
      </c>
      <c r="D83" t="s">
        <v>225</v>
      </c>
      <c r="F83">
        <v>150</v>
      </c>
      <c r="G83" t="s">
        <v>25</v>
      </c>
    </row>
    <row r="84" spans="3:10" x14ac:dyDescent="0.25">
      <c r="C84" s="215" t="s">
        <v>809</v>
      </c>
      <c r="D84" s="216"/>
      <c r="E84" s="216"/>
      <c r="F84" s="216"/>
      <c r="G84" s="216"/>
      <c r="H84" s="217"/>
      <c r="I84" s="14"/>
      <c r="J84" s="15"/>
    </row>
    <row r="85" spans="3:10" x14ac:dyDescent="0.25">
      <c r="D85" t="s">
        <v>970</v>
      </c>
    </row>
    <row r="86" spans="3:10" ht="14.5" thickBot="1" x14ac:dyDescent="0.35">
      <c r="C86" s="210" t="s">
        <v>947</v>
      </c>
      <c r="D86" s="211"/>
      <c r="E86" s="211"/>
      <c r="F86" s="211"/>
      <c r="G86" s="211"/>
      <c r="H86" s="212"/>
      <c r="I86" s="20"/>
      <c r="J86" s="21"/>
    </row>
    <row r="87" spans="3:10" ht="13" thickBot="1" x14ac:dyDescent="0.3">
      <c r="D87" t="s">
        <v>970</v>
      </c>
    </row>
    <row r="88" spans="3:10" ht="15" x14ac:dyDescent="0.3">
      <c r="C88" s="213" t="s">
        <v>811</v>
      </c>
      <c r="D88" s="214"/>
      <c r="E88" s="214"/>
      <c r="F88" s="214"/>
      <c r="G88" s="214"/>
      <c r="H88" s="214"/>
      <c r="I88" s="44"/>
      <c r="J88" s="45"/>
    </row>
    <row r="89" spans="3:10" x14ac:dyDescent="0.25">
      <c r="C89" t="s">
        <v>37</v>
      </c>
      <c r="D89" t="s">
        <v>812</v>
      </c>
      <c r="F89">
        <v>300000</v>
      </c>
      <c r="G89" t="s">
        <v>27</v>
      </c>
    </row>
    <row r="90" spans="3:10" x14ac:dyDescent="0.25">
      <c r="C90" t="s">
        <v>226</v>
      </c>
      <c r="D90" t="s">
        <v>227</v>
      </c>
      <c r="F90">
        <v>1</v>
      </c>
      <c r="G90" t="s">
        <v>72</v>
      </c>
    </row>
    <row r="91" spans="3:10" x14ac:dyDescent="0.25">
      <c r="C91" t="s">
        <v>228</v>
      </c>
      <c r="D91" t="s">
        <v>229</v>
      </c>
      <c r="F91">
        <v>1</v>
      </c>
      <c r="G91" t="s">
        <v>72</v>
      </c>
    </row>
    <row r="92" spans="3:10" x14ac:dyDescent="0.25">
      <c r="C92" t="s">
        <v>230</v>
      </c>
      <c r="D92" t="s">
        <v>231</v>
      </c>
      <c r="F92">
        <v>1</v>
      </c>
      <c r="G92" t="s">
        <v>72</v>
      </c>
    </row>
    <row r="93" spans="3:10" x14ac:dyDescent="0.25">
      <c r="C93" t="s">
        <v>232</v>
      </c>
      <c r="D93" t="s">
        <v>233</v>
      </c>
      <c r="F93">
        <v>0</v>
      </c>
      <c r="G93" t="s">
        <v>72</v>
      </c>
    </row>
    <row r="94" spans="3:10" x14ac:dyDescent="0.25">
      <c r="C94" s="215" t="s">
        <v>813</v>
      </c>
      <c r="D94" s="216"/>
      <c r="E94" s="216"/>
      <c r="F94" s="216"/>
      <c r="G94" s="216"/>
      <c r="H94" s="217"/>
      <c r="I94" s="14"/>
      <c r="J94" s="15"/>
    </row>
    <row r="95" spans="3:10" x14ac:dyDescent="0.25">
      <c r="C95" t="s">
        <v>234</v>
      </c>
      <c r="D95" t="s">
        <v>814</v>
      </c>
      <c r="F95">
        <v>100</v>
      </c>
      <c r="G95" t="s">
        <v>25</v>
      </c>
    </row>
    <row r="96" spans="3:10" x14ac:dyDescent="0.25">
      <c r="C96" t="s">
        <v>236</v>
      </c>
      <c r="D96" t="s">
        <v>237</v>
      </c>
      <c r="F96">
        <v>100</v>
      </c>
      <c r="G96" t="s">
        <v>25</v>
      </c>
    </row>
    <row r="97" spans="3:10" x14ac:dyDescent="0.25">
      <c r="C97" t="s">
        <v>238</v>
      </c>
      <c r="D97" t="s">
        <v>815</v>
      </c>
      <c r="F97">
        <v>1</v>
      </c>
      <c r="G97" t="s">
        <v>72</v>
      </c>
    </row>
    <row r="98" spans="3:10" x14ac:dyDescent="0.25">
      <c r="C98" t="s">
        <v>239</v>
      </c>
      <c r="D98" t="s">
        <v>240</v>
      </c>
      <c r="F98">
        <v>0</v>
      </c>
      <c r="G98" t="s">
        <v>72</v>
      </c>
    </row>
    <row r="99" spans="3:10" x14ac:dyDescent="0.25">
      <c r="C99" t="s">
        <v>241</v>
      </c>
      <c r="D99" t="s">
        <v>242</v>
      </c>
      <c r="F99">
        <v>1</v>
      </c>
      <c r="G99" t="s">
        <v>72</v>
      </c>
    </row>
    <row r="100" spans="3:10" x14ac:dyDescent="0.25">
      <c r="C100" t="s">
        <v>243</v>
      </c>
      <c r="D100" t="s">
        <v>816</v>
      </c>
      <c r="F100">
        <v>0</v>
      </c>
      <c r="G100" t="s">
        <v>72</v>
      </c>
    </row>
    <row r="101" spans="3:10" ht="14" x14ac:dyDescent="0.3">
      <c r="C101" s="218" t="s">
        <v>817</v>
      </c>
      <c r="D101" s="219"/>
      <c r="E101" s="219"/>
      <c r="F101" s="219"/>
      <c r="G101" s="219"/>
      <c r="H101" s="220"/>
      <c r="I101" s="26"/>
      <c r="J101" s="25"/>
    </row>
    <row r="102" spans="3:10" x14ac:dyDescent="0.25">
      <c r="C102" t="s">
        <v>475</v>
      </c>
      <c r="D102" t="s">
        <v>248</v>
      </c>
    </row>
    <row r="103" spans="3:10" x14ac:dyDescent="0.25">
      <c r="C103" t="s">
        <v>245</v>
      </c>
      <c r="D103" t="s">
        <v>246</v>
      </c>
      <c r="F103">
        <v>1</v>
      </c>
      <c r="G103" t="s">
        <v>25</v>
      </c>
    </row>
    <row r="104" spans="3:10" x14ac:dyDescent="0.25">
      <c r="C104" t="s">
        <v>247</v>
      </c>
      <c r="D104" t="s">
        <v>248</v>
      </c>
      <c r="F104">
        <v>1</v>
      </c>
      <c r="G104" t="s">
        <v>72</v>
      </c>
    </row>
    <row r="105" spans="3:10" x14ac:dyDescent="0.25">
      <c r="D105" t="s">
        <v>248</v>
      </c>
    </row>
    <row r="106" spans="3:10" x14ac:dyDescent="0.25">
      <c r="D106" t="s">
        <v>970</v>
      </c>
    </row>
    <row r="107" spans="3:10" ht="14.5" thickBot="1" x14ac:dyDescent="0.35">
      <c r="C107" s="210" t="s">
        <v>948</v>
      </c>
      <c r="D107" s="211"/>
      <c r="E107" s="211"/>
      <c r="F107" s="211"/>
      <c r="G107" s="211"/>
      <c r="H107" s="212"/>
      <c r="I107" s="20"/>
      <c r="J107" s="21"/>
    </row>
    <row r="108" spans="3:10" ht="13" thickBot="1" x14ac:dyDescent="0.3">
      <c r="D108" t="s">
        <v>970</v>
      </c>
    </row>
    <row r="109" spans="3:10" ht="15" x14ac:dyDescent="0.3">
      <c r="C109" s="213" t="s">
        <v>971</v>
      </c>
      <c r="D109" s="214"/>
      <c r="E109" s="214"/>
      <c r="F109" s="214"/>
      <c r="G109" s="214"/>
      <c r="H109" s="214"/>
      <c r="I109" s="44"/>
      <c r="J109" s="45"/>
    </row>
    <row r="110" spans="3:10" x14ac:dyDescent="0.25">
      <c r="C110" t="s">
        <v>38</v>
      </c>
      <c r="D110" t="s">
        <v>39</v>
      </c>
      <c r="F110">
        <v>18000</v>
      </c>
      <c r="G110" t="s">
        <v>27</v>
      </c>
    </row>
    <row r="111" spans="3:10" x14ac:dyDescent="0.25">
      <c r="C111" t="s">
        <v>38</v>
      </c>
      <c r="D111" t="s">
        <v>249</v>
      </c>
      <c r="F111">
        <v>2</v>
      </c>
      <c r="G111" t="s">
        <v>72</v>
      </c>
    </row>
    <row r="112" spans="3:10" x14ac:dyDescent="0.25">
      <c r="C112" t="s">
        <v>40</v>
      </c>
      <c r="D112" t="s">
        <v>41</v>
      </c>
      <c r="F112">
        <v>15000</v>
      </c>
      <c r="G112" t="s">
        <v>27</v>
      </c>
    </row>
    <row r="113" spans="3:10" x14ac:dyDescent="0.25">
      <c r="C113" t="s">
        <v>40</v>
      </c>
      <c r="D113" t="s">
        <v>821</v>
      </c>
      <c r="F113">
        <v>15000</v>
      </c>
      <c r="G113" t="s">
        <v>27</v>
      </c>
    </row>
    <row r="114" spans="3:10" x14ac:dyDescent="0.25">
      <c r="C114" t="s">
        <v>40</v>
      </c>
      <c r="D114" t="s">
        <v>250</v>
      </c>
      <c r="F114">
        <v>160</v>
      </c>
      <c r="G114" t="s">
        <v>27</v>
      </c>
    </row>
    <row r="115" spans="3:10" x14ac:dyDescent="0.25">
      <c r="C115" t="s">
        <v>40</v>
      </c>
      <c r="D115" t="s">
        <v>251</v>
      </c>
      <c r="F115">
        <v>511</v>
      </c>
      <c r="G115" t="s">
        <v>27</v>
      </c>
    </row>
    <row r="116" spans="3:10" x14ac:dyDescent="0.25">
      <c r="C116" t="s">
        <v>40</v>
      </c>
      <c r="D116" t="s">
        <v>822</v>
      </c>
      <c r="F116">
        <v>798</v>
      </c>
      <c r="G116" t="s">
        <v>27</v>
      </c>
    </row>
    <row r="117" spans="3:10" x14ac:dyDescent="0.25">
      <c r="C117" t="s">
        <v>252</v>
      </c>
      <c r="D117" t="s">
        <v>253</v>
      </c>
      <c r="F117">
        <v>1000</v>
      </c>
      <c r="G117" t="s">
        <v>27</v>
      </c>
    </row>
    <row r="118" spans="3:10" ht="14" x14ac:dyDescent="0.3">
      <c r="C118" s="218" t="s">
        <v>823</v>
      </c>
      <c r="D118" s="219"/>
      <c r="E118" s="219"/>
      <c r="F118" s="219"/>
      <c r="G118" s="219"/>
      <c r="H118" s="220"/>
      <c r="I118" s="26"/>
      <c r="J118" s="25"/>
    </row>
    <row r="119" spans="3:10" x14ac:dyDescent="0.25">
      <c r="D119" t="s">
        <v>970</v>
      </c>
    </row>
    <row r="120" spans="3:10" x14ac:dyDescent="0.25">
      <c r="C120" t="s">
        <v>475</v>
      </c>
      <c r="D120" t="s">
        <v>972</v>
      </c>
    </row>
    <row r="121" spans="3:10" x14ac:dyDescent="0.25">
      <c r="C121" t="s">
        <v>254</v>
      </c>
      <c r="D121" t="s">
        <v>255</v>
      </c>
      <c r="F121">
        <v>100</v>
      </c>
      <c r="G121" t="s">
        <v>25</v>
      </c>
    </row>
    <row r="122" spans="3:10" x14ac:dyDescent="0.25">
      <c r="C122" t="s">
        <v>46</v>
      </c>
      <c r="D122" t="s">
        <v>256</v>
      </c>
      <c r="F122">
        <v>0</v>
      </c>
      <c r="G122" t="s">
        <v>27</v>
      </c>
    </row>
    <row r="123" spans="3:10" x14ac:dyDescent="0.25">
      <c r="C123" t="s">
        <v>42</v>
      </c>
      <c r="D123" t="s">
        <v>43</v>
      </c>
      <c r="F123">
        <v>75000</v>
      </c>
      <c r="G123" t="s">
        <v>27</v>
      </c>
    </row>
    <row r="124" spans="3:10" x14ac:dyDescent="0.25">
      <c r="C124" t="s">
        <v>257</v>
      </c>
      <c r="D124" t="s">
        <v>258</v>
      </c>
      <c r="F124">
        <v>1</v>
      </c>
      <c r="G124" t="s">
        <v>72</v>
      </c>
    </row>
    <row r="125" spans="3:10" ht="14" x14ac:dyDescent="0.3">
      <c r="C125" s="218" t="s">
        <v>824</v>
      </c>
      <c r="D125" s="219"/>
      <c r="E125" s="219"/>
      <c r="F125" s="219"/>
      <c r="G125" s="219"/>
      <c r="H125" s="220"/>
      <c r="I125" s="26"/>
      <c r="J125" s="25"/>
    </row>
    <row r="126" spans="3:10" x14ac:dyDescent="0.25">
      <c r="D126" t="s">
        <v>970</v>
      </c>
    </row>
    <row r="127" spans="3:10" x14ac:dyDescent="0.25">
      <c r="C127" t="s">
        <v>475</v>
      </c>
      <c r="D127" t="s">
        <v>49</v>
      </c>
    </row>
    <row r="128" spans="3:10" x14ac:dyDescent="0.25">
      <c r="C128" t="s">
        <v>48</v>
      </c>
      <c r="D128" t="s">
        <v>49</v>
      </c>
      <c r="F128">
        <v>0</v>
      </c>
      <c r="G128" t="s">
        <v>72</v>
      </c>
    </row>
    <row r="129" spans="3:10" x14ac:dyDescent="0.25">
      <c r="C129" t="s">
        <v>48</v>
      </c>
      <c r="D129" t="s">
        <v>259</v>
      </c>
      <c r="F129">
        <v>0</v>
      </c>
      <c r="G129" t="s">
        <v>72</v>
      </c>
    </row>
    <row r="130" spans="3:10" ht="14" x14ac:dyDescent="0.3">
      <c r="C130" s="218" t="s">
        <v>825</v>
      </c>
      <c r="D130" s="219"/>
      <c r="E130" s="219"/>
      <c r="F130" s="219"/>
      <c r="G130" s="219"/>
      <c r="H130" s="220"/>
      <c r="I130" s="26"/>
      <c r="J130" s="25"/>
    </row>
    <row r="131" spans="3:10" x14ac:dyDescent="0.25">
      <c r="D131" t="s">
        <v>970</v>
      </c>
    </row>
    <row r="132" spans="3:10" x14ac:dyDescent="0.25">
      <c r="C132" t="s">
        <v>475</v>
      </c>
      <c r="D132" t="s">
        <v>973</v>
      </c>
    </row>
    <row r="133" spans="3:10" x14ac:dyDescent="0.25">
      <c r="C133" t="s">
        <v>50</v>
      </c>
      <c r="D133" t="s">
        <v>51</v>
      </c>
      <c r="F133">
        <v>0</v>
      </c>
      <c r="G133" t="s">
        <v>27</v>
      </c>
    </row>
    <row r="134" spans="3:10" x14ac:dyDescent="0.25">
      <c r="C134" t="s">
        <v>52</v>
      </c>
      <c r="D134" t="s">
        <v>53</v>
      </c>
      <c r="F134">
        <v>52920</v>
      </c>
      <c r="G134" t="s">
        <v>27</v>
      </c>
    </row>
    <row r="135" spans="3:10" ht="14" x14ac:dyDescent="0.3">
      <c r="C135" s="218" t="s">
        <v>826</v>
      </c>
      <c r="D135" s="219"/>
      <c r="E135" s="219"/>
      <c r="F135" s="219"/>
      <c r="G135" s="219"/>
      <c r="H135" s="220"/>
      <c r="I135" s="26"/>
      <c r="J135" s="25"/>
    </row>
    <row r="136" spans="3:10" x14ac:dyDescent="0.25">
      <c r="D136" t="s">
        <v>970</v>
      </c>
    </row>
    <row r="137" spans="3:10" x14ac:dyDescent="0.25">
      <c r="D137" t="s">
        <v>974</v>
      </c>
    </row>
    <row r="138" spans="3:10" x14ac:dyDescent="0.25">
      <c r="C138" t="s">
        <v>54</v>
      </c>
      <c r="D138" t="s">
        <v>55</v>
      </c>
      <c r="F138">
        <v>60000</v>
      </c>
      <c r="G138" t="s">
        <v>27</v>
      </c>
    </row>
    <row r="139" spans="3:10" x14ac:dyDescent="0.25">
      <c r="C139" t="s">
        <v>261</v>
      </c>
      <c r="D139" t="s">
        <v>262</v>
      </c>
      <c r="F139">
        <v>1</v>
      </c>
      <c r="G139" t="s">
        <v>72</v>
      </c>
    </row>
    <row r="140" spans="3:10" x14ac:dyDescent="0.25">
      <c r="C140" t="s">
        <v>263</v>
      </c>
      <c r="D140" t="s">
        <v>264</v>
      </c>
      <c r="F140">
        <v>0</v>
      </c>
      <c r="G140" t="s">
        <v>27</v>
      </c>
    </row>
    <row r="141" spans="3:10" ht="14" x14ac:dyDescent="0.3">
      <c r="C141" s="218" t="s">
        <v>827</v>
      </c>
      <c r="D141" s="219"/>
      <c r="E141" s="219"/>
      <c r="F141" s="219"/>
      <c r="G141" s="219"/>
      <c r="H141" s="220"/>
      <c r="I141" s="26"/>
      <c r="J141" s="25"/>
    </row>
    <row r="142" spans="3:10" x14ac:dyDescent="0.25">
      <c r="D142" t="s">
        <v>970</v>
      </c>
    </row>
    <row r="143" spans="3:10" x14ac:dyDescent="0.25">
      <c r="D143" t="s">
        <v>975</v>
      </c>
    </row>
    <row r="144" spans="3:10" x14ac:dyDescent="0.25">
      <c r="C144" t="s">
        <v>265</v>
      </c>
      <c r="D144" t="s">
        <v>266</v>
      </c>
      <c r="F144">
        <v>1</v>
      </c>
      <c r="G144" t="s">
        <v>72</v>
      </c>
    </row>
    <row r="145" spans="3:10" x14ac:dyDescent="0.25">
      <c r="C145" t="s">
        <v>267</v>
      </c>
      <c r="D145" t="s">
        <v>268</v>
      </c>
      <c r="F145">
        <v>0</v>
      </c>
      <c r="G145" t="s">
        <v>25</v>
      </c>
    </row>
    <row r="146" spans="3:10" x14ac:dyDescent="0.25">
      <c r="C146" t="s">
        <v>269</v>
      </c>
      <c r="D146" t="s">
        <v>270</v>
      </c>
      <c r="F146">
        <v>100</v>
      </c>
      <c r="G146" t="s">
        <v>25</v>
      </c>
    </row>
    <row r="147" spans="3:10" x14ac:dyDescent="0.25">
      <c r="C147" t="s">
        <v>271</v>
      </c>
      <c r="D147" t="s">
        <v>272</v>
      </c>
      <c r="F147">
        <v>0</v>
      </c>
      <c r="G147" t="s">
        <v>25</v>
      </c>
    </row>
    <row r="148" spans="3:10" ht="14" x14ac:dyDescent="0.3">
      <c r="C148" s="218" t="s">
        <v>828</v>
      </c>
      <c r="D148" s="219"/>
      <c r="E148" s="219"/>
      <c r="F148" s="219"/>
      <c r="G148" s="219"/>
      <c r="H148" s="220"/>
      <c r="I148" s="26"/>
      <c r="J148" s="25"/>
    </row>
    <row r="149" spans="3:10" x14ac:dyDescent="0.25">
      <c r="D149" t="s">
        <v>970</v>
      </c>
    </row>
    <row r="150" spans="3:10" ht="14.5" thickBot="1" x14ac:dyDescent="0.35">
      <c r="C150" s="210" t="s">
        <v>949</v>
      </c>
      <c r="D150" s="211"/>
      <c r="E150" s="211"/>
      <c r="F150" s="211"/>
      <c r="G150" s="211"/>
      <c r="H150" s="212"/>
      <c r="I150" s="20"/>
      <c r="J150" s="21"/>
    </row>
    <row r="151" spans="3:10" ht="13" thickBot="1" x14ac:dyDescent="0.3">
      <c r="D151" t="s">
        <v>970</v>
      </c>
    </row>
    <row r="152" spans="3:10" ht="15" x14ac:dyDescent="0.3">
      <c r="C152" s="213" t="s">
        <v>830</v>
      </c>
      <c r="D152" s="214"/>
      <c r="E152" s="214"/>
      <c r="F152" s="214"/>
      <c r="G152" s="214"/>
      <c r="H152" s="214"/>
      <c r="I152" s="44"/>
      <c r="J152" s="45"/>
    </row>
    <row r="153" spans="3:10" x14ac:dyDescent="0.25">
      <c r="C153" t="s">
        <v>273</v>
      </c>
      <c r="D153" t="s">
        <v>831</v>
      </c>
      <c r="F153">
        <v>100</v>
      </c>
      <c r="G153" t="s">
        <v>25</v>
      </c>
    </row>
    <row r="154" spans="3:10" x14ac:dyDescent="0.25">
      <c r="C154" t="s">
        <v>274</v>
      </c>
      <c r="D154" t="s">
        <v>832</v>
      </c>
      <c r="F154">
        <v>0</v>
      </c>
      <c r="G154" t="s">
        <v>72</v>
      </c>
    </row>
    <row r="155" spans="3:10" x14ac:dyDescent="0.25">
      <c r="C155" t="s">
        <v>276</v>
      </c>
      <c r="D155" t="s">
        <v>833</v>
      </c>
      <c r="F155">
        <v>100</v>
      </c>
      <c r="G155" t="s">
        <v>25</v>
      </c>
    </row>
    <row r="156" spans="3:10" x14ac:dyDescent="0.25">
      <c r="C156" t="s">
        <v>278</v>
      </c>
      <c r="D156" t="s">
        <v>834</v>
      </c>
      <c r="F156">
        <v>1</v>
      </c>
      <c r="G156" t="s">
        <v>72</v>
      </c>
    </row>
    <row r="157" spans="3:10" ht="14" x14ac:dyDescent="0.3">
      <c r="C157" s="218" t="s">
        <v>835</v>
      </c>
      <c r="D157" s="219"/>
      <c r="E157" s="219"/>
      <c r="F157" s="219"/>
      <c r="G157" s="219"/>
      <c r="H157" s="220"/>
      <c r="I157" s="26"/>
      <c r="J157" s="25"/>
    </row>
    <row r="158" spans="3:10" x14ac:dyDescent="0.25">
      <c r="D158" t="s">
        <v>970</v>
      </c>
    </row>
    <row r="159" spans="3:10" x14ac:dyDescent="0.25">
      <c r="C159" t="s">
        <v>475</v>
      </c>
      <c r="D159" t="s">
        <v>976</v>
      </c>
    </row>
    <row r="160" spans="3:10" x14ac:dyDescent="0.25">
      <c r="C160" t="s">
        <v>58</v>
      </c>
      <c r="D160" t="s">
        <v>836</v>
      </c>
      <c r="F160">
        <v>500</v>
      </c>
      <c r="G160" t="s">
        <v>27</v>
      </c>
    </row>
    <row r="161" spans="3:10" x14ac:dyDescent="0.25">
      <c r="C161" t="s">
        <v>58</v>
      </c>
      <c r="D161" t="s">
        <v>281</v>
      </c>
      <c r="F161">
        <v>1</v>
      </c>
      <c r="G161" t="s">
        <v>25</v>
      </c>
    </row>
    <row r="162" spans="3:10" ht="14" x14ac:dyDescent="0.3">
      <c r="C162" s="218" t="s">
        <v>837</v>
      </c>
      <c r="D162" s="219"/>
      <c r="E162" s="219"/>
      <c r="F162" s="219"/>
      <c r="G162" s="219"/>
      <c r="H162" s="220"/>
      <c r="I162" s="26"/>
      <c r="J162" s="25"/>
    </row>
    <row r="163" spans="3:10" x14ac:dyDescent="0.25">
      <c r="D163" t="s">
        <v>970</v>
      </c>
    </row>
    <row r="164" spans="3:10" x14ac:dyDescent="0.25">
      <c r="C164" t="s">
        <v>475</v>
      </c>
      <c r="D164" t="s">
        <v>977</v>
      </c>
    </row>
    <row r="165" spans="3:10" x14ac:dyDescent="0.25">
      <c r="C165" t="s">
        <v>282</v>
      </c>
      <c r="D165" t="s">
        <v>283</v>
      </c>
      <c r="F165">
        <v>0</v>
      </c>
      <c r="G165" t="s">
        <v>72</v>
      </c>
    </row>
    <row r="166" spans="3:10" ht="14" x14ac:dyDescent="0.3">
      <c r="C166" s="218" t="s">
        <v>838</v>
      </c>
      <c r="D166" s="219"/>
      <c r="E166" s="219"/>
      <c r="F166" s="219"/>
      <c r="G166" s="219"/>
      <c r="H166" s="220"/>
      <c r="I166" s="26"/>
      <c r="J166" s="25"/>
    </row>
    <row r="167" spans="3:10" x14ac:dyDescent="0.25">
      <c r="D167" t="s">
        <v>970</v>
      </c>
    </row>
    <row r="168" spans="3:10" x14ac:dyDescent="0.25">
      <c r="C168" t="s">
        <v>475</v>
      </c>
      <c r="D168" t="s">
        <v>978</v>
      </c>
    </row>
    <row r="169" spans="3:10" x14ac:dyDescent="0.25">
      <c r="C169" t="s">
        <v>284</v>
      </c>
      <c r="D169" t="s">
        <v>839</v>
      </c>
      <c r="F169">
        <v>0</v>
      </c>
      <c r="G169" t="s">
        <v>25</v>
      </c>
    </row>
    <row r="170" spans="3:10" x14ac:dyDescent="0.25">
      <c r="C170" t="s">
        <v>56</v>
      </c>
      <c r="D170" t="s">
        <v>840</v>
      </c>
      <c r="F170">
        <v>100</v>
      </c>
      <c r="G170" t="s">
        <v>25</v>
      </c>
    </row>
    <row r="171" spans="3:10" x14ac:dyDescent="0.25">
      <c r="C171" t="s">
        <v>56</v>
      </c>
      <c r="D171" t="s">
        <v>841</v>
      </c>
      <c r="F171">
        <v>1</v>
      </c>
      <c r="G171" t="s">
        <v>72</v>
      </c>
    </row>
    <row r="172" spans="3:10" ht="14" x14ac:dyDescent="0.3">
      <c r="C172" s="218" t="s">
        <v>842</v>
      </c>
      <c r="D172" s="219"/>
      <c r="E172" s="219"/>
      <c r="F172" s="219"/>
      <c r="G172" s="219"/>
      <c r="H172" s="220"/>
      <c r="I172" s="26"/>
      <c r="J172" s="25"/>
    </row>
    <row r="173" spans="3:10" x14ac:dyDescent="0.25">
      <c r="D173" t="s">
        <v>970</v>
      </c>
    </row>
    <row r="174" spans="3:10" x14ac:dyDescent="0.25">
      <c r="C174" t="s">
        <v>475</v>
      </c>
      <c r="D174" t="s">
        <v>288</v>
      </c>
    </row>
    <row r="175" spans="3:10" x14ac:dyDescent="0.25">
      <c r="C175" t="s">
        <v>287</v>
      </c>
      <c r="D175" t="s">
        <v>288</v>
      </c>
      <c r="F175">
        <v>100</v>
      </c>
      <c r="G175" t="s">
        <v>25</v>
      </c>
    </row>
    <row r="176" spans="3:10" x14ac:dyDescent="0.25">
      <c r="C176" t="s">
        <v>289</v>
      </c>
      <c r="D176" t="s">
        <v>290</v>
      </c>
      <c r="F176">
        <v>100</v>
      </c>
      <c r="G176" t="s">
        <v>72</v>
      </c>
    </row>
    <row r="177" spans="3:10" ht="14" x14ac:dyDescent="0.3">
      <c r="C177" s="218" t="s">
        <v>843</v>
      </c>
      <c r="D177" s="219"/>
      <c r="E177" s="219"/>
      <c r="F177" s="219"/>
      <c r="G177" s="219"/>
      <c r="H177" s="220"/>
      <c r="I177" s="26"/>
      <c r="J177" s="25"/>
    </row>
    <row r="178" spans="3:10" x14ac:dyDescent="0.25">
      <c r="D178" t="s">
        <v>970</v>
      </c>
    </row>
    <row r="179" spans="3:10" ht="14.5" thickBot="1" x14ac:dyDescent="0.35">
      <c r="C179" s="210" t="s">
        <v>950</v>
      </c>
      <c r="D179" s="211"/>
      <c r="E179" s="211"/>
      <c r="F179" s="211"/>
      <c r="G179" s="211"/>
      <c r="H179" s="212"/>
      <c r="I179" s="20"/>
      <c r="J179" s="21"/>
    </row>
    <row r="180" spans="3:10" ht="13" thickBot="1" x14ac:dyDescent="0.3"/>
    <row r="181" spans="3:10" ht="15" x14ac:dyDescent="0.3">
      <c r="C181" s="213" t="s">
        <v>845</v>
      </c>
      <c r="D181" s="214"/>
      <c r="E181" s="214"/>
      <c r="F181" s="214"/>
      <c r="G181" s="214"/>
      <c r="H181" s="214"/>
      <c r="I181" s="44"/>
      <c r="J181" s="45"/>
    </row>
    <row r="182" spans="3:10" x14ac:dyDescent="0.25">
      <c r="C182" t="s">
        <v>475</v>
      </c>
      <c r="D182" t="s">
        <v>979</v>
      </c>
    </row>
    <row r="183" spans="3:10" x14ac:dyDescent="0.25">
      <c r="C183" t="s">
        <v>293</v>
      </c>
      <c r="D183" t="s">
        <v>846</v>
      </c>
      <c r="F183">
        <v>100</v>
      </c>
      <c r="G183" t="s">
        <v>25</v>
      </c>
    </row>
    <row r="184" spans="3:10" x14ac:dyDescent="0.25">
      <c r="C184" t="s">
        <v>295</v>
      </c>
      <c r="D184" t="s">
        <v>296</v>
      </c>
      <c r="F184">
        <v>0</v>
      </c>
      <c r="G184" t="s">
        <v>72</v>
      </c>
    </row>
    <row r="185" spans="3:10" ht="14" x14ac:dyDescent="0.3">
      <c r="C185" s="218" t="s">
        <v>847</v>
      </c>
      <c r="D185" s="219"/>
      <c r="E185" s="219"/>
      <c r="F185" s="219"/>
      <c r="G185" s="219"/>
      <c r="H185" s="220"/>
      <c r="I185" s="26"/>
      <c r="J185" s="25"/>
    </row>
    <row r="186" spans="3:10" x14ac:dyDescent="0.25">
      <c r="D186" t="s">
        <v>970</v>
      </c>
    </row>
    <row r="187" spans="3:10" x14ac:dyDescent="0.25">
      <c r="C187" t="s">
        <v>475</v>
      </c>
      <c r="D187" t="s">
        <v>298</v>
      </c>
    </row>
    <row r="188" spans="3:10" x14ac:dyDescent="0.25">
      <c r="C188" t="s">
        <v>297</v>
      </c>
      <c r="D188" t="s">
        <v>298</v>
      </c>
      <c r="F188">
        <v>100</v>
      </c>
      <c r="G188" t="s">
        <v>25</v>
      </c>
    </row>
    <row r="189" spans="3:10" ht="14" x14ac:dyDescent="0.3">
      <c r="C189" s="218" t="s">
        <v>848</v>
      </c>
      <c r="D189" s="219"/>
      <c r="E189" s="219"/>
      <c r="F189" s="219"/>
      <c r="G189" s="219"/>
      <c r="H189" s="220"/>
      <c r="I189" s="26"/>
      <c r="J189" s="25"/>
    </row>
    <row r="190" spans="3:10" x14ac:dyDescent="0.25">
      <c r="D190" t="s">
        <v>970</v>
      </c>
    </row>
    <row r="191" spans="3:10" x14ac:dyDescent="0.25">
      <c r="C191" t="s">
        <v>475</v>
      </c>
      <c r="D191" t="s">
        <v>969</v>
      </c>
    </row>
    <row r="192" spans="3:10" x14ac:dyDescent="0.25">
      <c r="C192" t="s">
        <v>299</v>
      </c>
      <c r="D192" t="s">
        <v>300</v>
      </c>
      <c r="F192">
        <v>2000</v>
      </c>
      <c r="G192" t="s">
        <v>27</v>
      </c>
    </row>
    <row r="193" spans="3:10" ht="14" x14ac:dyDescent="0.3">
      <c r="C193" s="218" t="s">
        <v>849</v>
      </c>
      <c r="D193" s="219"/>
      <c r="E193" s="219"/>
      <c r="F193" s="219"/>
      <c r="G193" s="219"/>
      <c r="H193" s="220"/>
      <c r="I193" s="26"/>
      <c r="J193" s="25"/>
    </row>
    <row r="194" spans="3:10" x14ac:dyDescent="0.25">
      <c r="D194" t="s">
        <v>970</v>
      </c>
    </row>
    <row r="195" spans="3:10" x14ac:dyDescent="0.25">
      <c r="C195" t="s">
        <v>475</v>
      </c>
      <c r="D195" t="s">
        <v>302</v>
      </c>
    </row>
    <row r="196" spans="3:10" x14ac:dyDescent="0.25">
      <c r="C196" t="s">
        <v>301</v>
      </c>
      <c r="D196" t="s">
        <v>302</v>
      </c>
      <c r="F196">
        <v>0</v>
      </c>
      <c r="G196" t="s">
        <v>72</v>
      </c>
    </row>
    <row r="197" spans="3:10" ht="14" x14ac:dyDescent="0.3">
      <c r="C197" s="218" t="s">
        <v>850</v>
      </c>
      <c r="D197" s="219"/>
      <c r="E197" s="219"/>
      <c r="F197" s="219"/>
      <c r="G197" s="219"/>
      <c r="H197" s="220"/>
      <c r="I197" s="26"/>
      <c r="J197" s="25"/>
    </row>
    <row r="198" spans="3:10" x14ac:dyDescent="0.25">
      <c r="D198" t="s">
        <v>970</v>
      </c>
    </row>
    <row r="199" spans="3:10" x14ac:dyDescent="0.25">
      <c r="C199" t="s">
        <v>475</v>
      </c>
      <c r="D199" t="s">
        <v>304</v>
      </c>
    </row>
    <row r="200" spans="3:10" x14ac:dyDescent="0.25">
      <c r="C200" t="s">
        <v>303</v>
      </c>
      <c r="D200" t="s">
        <v>304</v>
      </c>
      <c r="F200">
        <v>100</v>
      </c>
      <c r="G200" t="s">
        <v>25</v>
      </c>
    </row>
    <row r="201" spans="3:10" ht="14" x14ac:dyDescent="0.3">
      <c r="C201" s="218" t="s">
        <v>851</v>
      </c>
      <c r="D201" s="219"/>
      <c r="E201" s="219"/>
      <c r="F201" s="219"/>
      <c r="G201" s="219"/>
      <c r="H201" s="220"/>
      <c r="I201" s="26"/>
      <c r="J201" s="25"/>
    </row>
    <row r="202" spans="3:10" x14ac:dyDescent="0.25">
      <c r="D202" t="s">
        <v>970</v>
      </c>
    </row>
    <row r="203" spans="3:10" x14ac:dyDescent="0.25">
      <c r="C203" t="s">
        <v>475</v>
      </c>
      <c r="D203" t="s">
        <v>306</v>
      </c>
    </row>
    <row r="204" spans="3:10" x14ac:dyDescent="0.25">
      <c r="C204" t="s">
        <v>305</v>
      </c>
      <c r="D204" t="s">
        <v>306</v>
      </c>
      <c r="F204">
        <v>0</v>
      </c>
      <c r="G204" t="s">
        <v>27</v>
      </c>
    </row>
    <row r="205" spans="3:10" ht="14" x14ac:dyDescent="0.3">
      <c r="C205" s="218" t="s">
        <v>852</v>
      </c>
      <c r="D205" s="219"/>
      <c r="E205" s="219"/>
      <c r="F205" s="219"/>
      <c r="G205" s="219"/>
      <c r="H205" s="220"/>
      <c r="I205" s="26"/>
      <c r="J205" s="25"/>
    </row>
    <row r="206" spans="3:10" x14ac:dyDescent="0.25">
      <c r="D206" t="s">
        <v>970</v>
      </c>
    </row>
    <row r="207" spans="3:10" x14ac:dyDescent="0.25">
      <c r="C207" t="s">
        <v>475</v>
      </c>
      <c r="D207" t="s">
        <v>308</v>
      </c>
    </row>
    <row r="208" spans="3:10" x14ac:dyDescent="0.25">
      <c r="C208" t="s">
        <v>307</v>
      </c>
      <c r="D208" t="s">
        <v>308</v>
      </c>
      <c r="F208">
        <v>1</v>
      </c>
      <c r="G208" t="s">
        <v>72</v>
      </c>
    </row>
    <row r="209" spans="3:10" x14ac:dyDescent="0.25">
      <c r="C209" t="s">
        <v>307</v>
      </c>
      <c r="D209" t="s">
        <v>853</v>
      </c>
      <c r="F209">
        <v>1</v>
      </c>
      <c r="G209" t="s">
        <v>72</v>
      </c>
    </row>
    <row r="210" spans="3:10" ht="14" x14ac:dyDescent="0.3">
      <c r="C210" s="218" t="s">
        <v>854</v>
      </c>
      <c r="D210" s="219"/>
      <c r="E210" s="219"/>
      <c r="F210" s="219"/>
      <c r="G210" s="219"/>
      <c r="H210" s="220"/>
      <c r="I210" s="26"/>
      <c r="J210" s="25"/>
    </row>
    <row r="211" spans="3:10" x14ac:dyDescent="0.25">
      <c r="D211" t="s">
        <v>970</v>
      </c>
    </row>
    <row r="212" spans="3:10" x14ac:dyDescent="0.25">
      <c r="C212" t="s">
        <v>475</v>
      </c>
      <c r="D212" t="s">
        <v>311</v>
      </c>
    </row>
    <row r="213" spans="3:10" x14ac:dyDescent="0.25">
      <c r="C213" t="s">
        <v>310</v>
      </c>
      <c r="D213" t="s">
        <v>311</v>
      </c>
      <c r="F213">
        <v>1</v>
      </c>
      <c r="G213" t="s">
        <v>72</v>
      </c>
    </row>
    <row r="214" spans="3:10" ht="14" x14ac:dyDescent="0.3">
      <c r="C214" s="218" t="s">
        <v>855</v>
      </c>
      <c r="D214" s="219"/>
      <c r="E214" s="219"/>
      <c r="F214" s="219"/>
      <c r="G214" s="219"/>
      <c r="H214" s="220"/>
      <c r="I214" s="26"/>
      <c r="J214" s="25"/>
    </row>
    <row r="215" spans="3:10" x14ac:dyDescent="0.25">
      <c r="D215" t="s">
        <v>970</v>
      </c>
    </row>
    <row r="216" spans="3:10" x14ac:dyDescent="0.25">
      <c r="C216" t="s">
        <v>475</v>
      </c>
      <c r="D216" t="s">
        <v>313</v>
      </c>
    </row>
    <row r="217" spans="3:10" x14ac:dyDescent="0.25">
      <c r="C217" t="s">
        <v>312</v>
      </c>
      <c r="D217" t="s">
        <v>313</v>
      </c>
      <c r="F217">
        <v>100</v>
      </c>
      <c r="G217" t="s">
        <v>25</v>
      </c>
    </row>
    <row r="218" spans="3:10" x14ac:dyDescent="0.25">
      <c r="C218" t="s">
        <v>314</v>
      </c>
      <c r="D218" t="s">
        <v>315</v>
      </c>
      <c r="F218">
        <v>0</v>
      </c>
      <c r="G218" t="s">
        <v>27</v>
      </c>
    </row>
    <row r="219" spans="3:10" ht="14" x14ac:dyDescent="0.3">
      <c r="C219" s="218" t="s">
        <v>856</v>
      </c>
      <c r="D219" s="219"/>
      <c r="E219" s="219"/>
      <c r="F219" s="219"/>
      <c r="G219" s="219"/>
      <c r="H219" s="220"/>
      <c r="I219" s="26"/>
      <c r="J219" s="25"/>
    </row>
    <row r="220" spans="3:10" x14ac:dyDescent="0.25">
      <c r="D220" t="s">
        <v>970</v>
      </c>
    </row>
    <row r="221" spans="3:10" x14ac:dyDescent="0.25">
      <c r="C221" t="s">
        <v>475</v>
      </c>
      <c r="D221" t="s">
        <v>317</v>
      </c>
    </row>
    <row r="222" spans="3:10" x14ac:dyDescent="0.25">
      <c r="C222" t="s">
        <v>316</v>
      </c>
      <c r="D222" t="s">
        <v>317</v>
      </c>
      <c r="F222">
        <v>0</v>
      </c>
      <c r="G222" t="s">
        <v>72</v>
      </c>
    </row>
    <row r="223" spans="3:10" ht="14" x14ac:dyDescent="0.3">
      <c r="C223" s="218" t="s">
        <v>856</v>
      </c>
      <c r="D223" s="219"/>
      <c r="E223" s="219"/>
      <c r="F223" s="219"/>
      <c r="G223" s="219"/>
      <c r="H223" s="220"/>
      <c r="I223" s="26"/>
      <c r="J223" s="25"/>
    </row>
    <row r="224" spans="3:10" x14ac:dyDescent="0.25">
      <c r="D224" t="s">
        <v>970</v>
      </c>
    </row>
    <row r="225" spans="3:10" ht="14.5" thickBot="1" x14ac:dyDescent="0.35">
      <c r="C225" s="210" t="s">
        <v>951</v>
      </c>
      <c r="D225" s="211"/>
      <c r="E225" s="211"/>
      <c r="F225" s="211"/>
      <c r="G225" s="211"/>
      <c r="H225" s="212"/>
      <c r="I225" s="20"/>
      <c r="J225" s="21"/>
    </row>
    <row r="226" spans="3:10" ht="13" thickBot="1" x14ac:dyDescent="0.3">
      <c r="D226" t="s">
        <v>970</v>
      </c>
    </row>
    <row r="227" spans="3:10" ht="15" x14ac:dyDescent="0.3">
      <c r="C227" s="213" t="s">
        <v>859</v>
      </c>
      <c r="D227" s="214"/>
      <c r="E227" s="214"/>
      <c r="F227" s="214"/>
      <c r="G227" s="214"/>
      <c r="H227" s="214"/>
      <c r="I227" s="44"/>
      <c r="J227" s="45"/>
    </row>
    <row r="228" spans="3:10" x14ac:dyDescent="0.25">
      <c r="C228" t="s">
        <v>319</v>
      </c>
      <c r="D228" t="s">
        <v>320</v>
      </c>
      <c r="F228">
        <v>100</v>
      </c>
      <c r="G228" t="s">
        <v>25</v>
      </c>
    </row>
    <row r="229" spans="3:10" x14ac:dyDescent="0.25">
      <c r="C229" t="s">
        <v>319</v>
      </c>
      <c r="D229" t="s">
        <v>860</v>
      </c>
      <c r="F229">
        <v>1</v>
      </c>
      <c r="G229" t="s">
        <v>25</v>
      </c>
    </row>
    <row r="230" spans="3:10" x14ac:dyDescent="0.25">
      <c r="C230" t="s">
        <v>319</v>
      </c>
      <c r="D230" t="s">
        <v>321</v>
      </c>
      <c r="F230">
        <v>1</v>
      </c>
      <c r="G230" t="s">
        <v>25</v>
      </c>
    </row>
    <row r="231" spans="3:10" x14ac:dyDescent="0.25">
      <c r="C231" t="s">
        <v>322</v>
      </c>
      <c r="D231" t="s">
        <v>323</v>
      </c>
      <c r="F231">
        <v>0</v>
      </c>
      <c r="G231" t="s">
        <v>72</v>
      </c>
    </row>
    <row r="232" spans="3:10" x14ac:dyDescent="0.25">
      <c r="C232" t="s">
        <v>324</v>
      </c>
      <c r="D232" t="s">
        <v>861</v>
      </c>
      <c r="F232">
        <v>1</v>
      </c>
      <c r="G232" t="s">
        <v>72</v>
      </c>
    </row>
    <row r="233" spans="3:10" x14ac:dyDescent="0.25">
      <c r="C233" t="s">
        <v>326</v>
      </c>
      <c r="D233" t="s">
        <v>327</v>
      </c>
      <c r="F233">
        <v>50</v>
      </c>
      <c r="G233" t="s">
        <v>25</v>
      </c>
    </row>
    <row r="234" spans="3:10" x14ac:dyDescent="0.25">
      <c r="C234" t="s">
        <v>328</v>
      </c>
      <c r="D234" t="s">
        <v>329</v>
      </c>
      <c r="F234">
        <v>0</v>
      </c>
      <c r="G234" t="s">
        <v>72</v>
      </c>
    </row>
    <row r="235" spans="3:10" x14ac:dyDescent="0.25">
      <c r="C235" t="s">
        <v>330</v>
      </c>
      <c r="D235" t="s">
        <v>862</v>
      </c>
      <c r="F235">
        <v>1</v>
      </c>
      <c r="G235" t="s">
        <v>72</v>
      </c>
    </row>
    <row r="236" spans="3:10" x14ac:dyDescent="0.25">
      <c r="C236" t="s">
        <v>332</v>
      </c>
      <c r="D236" t="s">
        <v>863</v>
      </c>
      <c r="F236">
        <v>100</v>
      </c>
      <c r="G236" t="s">
        <v>25</v>
      </c>
    </row>
    <row r="237" spans="3:10" x14ac:dyDescent="0.25">
      <c r="C237" t="s">
        <v>334</v>
      </c>
      <c r="D237" t="s">
        <v>864</v>
      </c>
      <c r="F237">
        <v>100</v>
      </c>
      <c r="G237" t="s">
        <v>25</v>
      </c>
    </row>
    <row r="238" spans="3:10" x14ac:dyDescent="0.25">
      <c r="C238" t="s">
        <v>336</v>
      </c>
      <c r="D238" t="s">
        <v>337</v>
      </c>
      <c r="F238">
        <v>30</v>
      </c>
      <c r="G238" t="s">
        <v>25</v>
      </c>
    </row>
    <row r="239" spans="3:10" x14ac:dyDescent="0.25">
      <c r="C239" t="s">
        <v>336</v>
      </c>
      <c r="D239" t="s">
        <v>338</v>
      </c>
      <c r="F239">
        <v>1</v>
      </c>
      <c r="G239" t="s">
        <v>25</v>
      </c>
    </row>
    <row r="240" spans="3:10" x14ac:dyDescent="0.25">
      <c r="C240" t="s">
        <v>339</v>
      </c>
      <c r="D240" t="s">
        <v>340</v>
      </c>
      <c r="F240">
        <v>2</v>
      </c>
      <c r="G240" t="s">
        <v>25</v>
      </c>
    </row>
    <row r="241" spans="3:10" x14ac:dyDescent="0.25">
      <c r="C241" t="s">
        <v>341</v>
      </c>
      <c r="D241" t="s">
        <v>865</v>
      </c>
      <c r="F241">
        <v>20</v>
      </c>
      <c r="G241" t="s">
        <v>25</v>
      </c>
    </row>
    <row r="242" spans="3:10" x14ac:dyDescent="0.25">
      <c r="C242" t="s">
        <v>343</v>
      </c>
      <c r="D242" t="s">
        <v>344</v>
      </c>
      <c r="F242">
        <v>0</v>
      </c>
      <c r="G242" t="s">
        <v>72</v>
      </c>
    </row>
    <row r="243" spans="3:10" x14ac:dyDescent="0.25">
      <c r="C243" t="s">
        <v>345</v>
      </c>
      <c r="D243" t="s">
        <v>346</v>
      </c>
      <c r="F243">
        <v>100</v>
      </c>
      <c r="G243" t="s">
        <v>25</v>
      </c>
    </row>
    <row r="244" spans="3:10" x14ac:dyDescent="0.25">
      <c r="C244" t="s">
        <v>345</v>
      </c>
      <c r="D244" t="s">
        <v>347</v>
      </c>
      <c r="F244">
        <v>0</v>
      </c>
      <c r="G244" t="s">
        <v>72</v>
      </c>
    </row>
    <row r="245" spans="3:10" x14ac:dyDescent="0.25">
      <c r="C245" t="s">
        <v>348</v>
      </c>
      <c r="D245" t="s">
        <v>349</v>
      </c>
      <c r="F245">
        <v>100</v>
      </c>
      <c r="G245" t="s">
        <v>25</v>
      </c>
    </row>
    <row r="246" spans="3:10" x14ac:dyDescent="0.25">
      <c r="C246" t="s">
        <v>350</v>
      </c>
      <c r="D246" t="s">
        <v>866</v>
      </c>
      <c r="F246">
        <v>0</v>
      </c>
      <c r="G246" t="s">
        <v>72</v>
      </c>
    </row>
    <row r="247" spans="3:10" x14ac:dyDescent="0.25">
      <c r="C247" t="s">
        <v>352</v>
      </c>
      <c r="D247" t="s">
        <v>353</v>
      </c>
      <c r="F247">
        <v>0</v>
      </c>
      <c r="G247" t="s">
        <v>72</v>
      </c>
    </row>
    <row r="248" spans="3:10" x14ac:dyDescent="0.25">
      <c r="C248" t="s">
        <v>354</v>
      </c>
      <c r="D248" t="s">
        <v>355</v>
      </c>
      <c r="F248">
        <v>0</v>
      </c>
      <c r="G248" t="s">
        <v>72</v>
      </c>
    </row>
    <row r="249" spans="3:10" ht="14" x14ac:dyDescent="0.3">
      <c r="C249" s="218" t="s">
        <v>867</v>
      </c>
      <c r="D249" s="219"/>
      <c r="E249" s="219"/>
      <c r="F249" s="219"/>
      <c r="G249" s="219"/>
      <c r="H249" s="220"/>
      <c r="I249" s="26"/>
      <c r="J249" s="25"/>
    </row>
    <row r="250" spans="3:10" x14ac:dyDescent="0.25">
      <c r="D250" t="s">
        <v>970</v>
      </c>
    </row>
    <row r="251" spans="3:10" ht="14.5" thickBot="1" x14ac:dyDescent="0.35">
      <c r="C251" s="210" t="s">
        <v>952</v>
      </c>
      <c r="D251" s="211"/>
      <c r="E251" s="211"/>
      <c r="F251" s="211"/>
      <c r="G251" s="211"/>
      <c r="H251" s="212"/>
      <c r="I251" s="20"/>
      <c r="J251" s="21"/>
    </row>
    <row r="252" spans="3:10" ht="13" thickBot="1" x14ac:dyDescent="0.3">
      <c r="D252" t="s">
        <v>970</v>
      </c>
    </row>
    <row r="253" spans="3:10" ht="15" x14ac:dyDescent="0.3">
      <c r="C253" s="213" t="s">
        <v>869</v>
      </c>
      <c r="D253" s="214"/>
      <c r="E253" s="214"/>
      <c r="F253" s="214"/>
      <c r="G253" s="214"/>
      <c r="H253" s="214"/>
      <c r="I253" s="44"/>
      <c r="J253" s="45"/>
    </row>
    <row r="254" spans="3:10" x14ac:dyDescent="0.25">
      <c r="C254" t="s">
        <v>356</v>
      </c>
      <c r="D254" t="s">
        <v>357</v>
      </c>
      <c r="F254">
        <v>0</v>
      </c>
      <c r="G254" t="s">
        <v>72</v>
      </c>
    </row>
    <row r="255" spans="3:10" x14ac:dyDescent="0.25">
      <c r="C255" t="s">
        <v>358</v>
      </c>
      <c r="D255" t="s">
        <v>359</v>
      </c>
      <c r="F255">
        <v>1</v>
      </c>
      <c r="G255" t="s">
        <v>72</v>
      </c>
    </row>
    <row r="256" spans="3:10" x14ac:dyDescent="0.25">
      <c r="C256" t="s">
        <v>360</v>
      </c>
      <c r="D256" t="s">
        <v>361</v>
      </c>
      <c r="F256">
        <v>100</v>
      </c>
      <c r="G256" t="s">
        <v>25</v>
      </c>
    </row>
    <row r="257" spans="3:10" x14ac:dyDescent="0.25">
      <c r="C257" t="s">
        <v>362</v>
      </c>
      <c r="D257" t="s">
        <v>363</v>
      </c>
      <c r="F257">
        <v>3</v>
      </c>
      <c r="G257" t="s">
        <v>25</v>
      </c>
    </row>
    <row r="258" spans="3:10" x14ac:dyDescent="0.25">
      <c r="C258" t="s">
        <v>364</v>
      </c>
      <c r="D258" t="s">
        <v>365</v>
      </c>
      <c r="F258">
        <v>0</v>
      </c>
      <c r="G258" t="s">
        <v>72</v>
      </c>
    </row>
    <row r="259" spans="3:10" x14ac:dyDescent="0.25">
      <c r="C259" t="s">
        <v>366</v>
      </c>
      <c r="D259" t="s">
        <v>367</v>
      </c>
      <c r="F259">
        <v>0</v>
      </c>
      <c r="G259" t="s">
        <v>72</v>
      </c>
    </row>
    <row r="260" spans="3:10" x14ac:dyDescent="0.25">
      <c r="C260" t="s">
        <v>368</v>
      </c>
      <c r="D260" t="s">
        <v>369</v>
      </c>
      <c r="F260">
        <v>0</v>
      </c>
      <c r="G260" t="s">
        <v>72</v>
      </c>
    </row>
    <row r="261" spans="3:10" ht="14" x14ac:dyDescent="0.3">
      <c r="C261" s="218" t="s">
        <v>870</v>
      </c>
      <c r="D261" s="219"/>
      <c r="E261" s="219"/>
      <c r="F261" s="219"/>
      <c r="G261" s="219"/>
      <c r="H261" s="220"/>
      <c r="I261" s="26"/>
      <c r="J261" s="25"/>
    </row>
    <row r="262" spans="3:10" x14ac:dyDescent="0.25">
      <c r="D262" t="s">
        <v>970</v>
      </c>
    </row>
    <row r="263" spans="3:10" ht="14.5" thickBot="1" x14ac:dyDescent="0.35">
      <c r="C263" s="210" t="s">
        <v>953</v>
      </c>
      <c r="D263" s="211"/>
      <c r="E263" s="211"/>
      <c r="F263" s="211"/>
      <c r="G263" s="211"/>
      <c r="H263" s="212"/>
      <c r="I263" s="20"/>
      <c r="J263" s="21"/>
    </row>
    <row r="264" spans="3:10" ht="13" thickBot="1" x14ac:dyDescent="0.3">
      <c r="D264" t="s">
        <v>970</v>
      </c>
    </row>
    <row r="265" spans="3:10" ht="15" x14ac:dyDescent="0.3">
      <c r="C265" s="213" t="s">
        <v>872</v>
      </c>
      <c r="D265" s="214"/>
      <c r="E265" s="214"/>
      <c r="F265" s="214"/>
      <c r="G265" s="214"/>
      <c r="H265" s="214"/>
      <c r="I265" s="44"/>
      <c r="J265" s="45"/>
    </row>
    <row r="266" spans="3:10" x14ac:dyDescent="0.25">
      <c r="C266" t="s">
        <v>370</v>
      </c>
      <c r="D266" t="s">
        <v>371</v>
      </c>
      <c r="F266">
        <v>100</v>
      </c>
      <c r="G266" t="s">
        <v>25</v>
      </c>
    </row>
    <row r="267" spans="3:10" x14ac:dyDescent="0.25">
      <c r="C267" t="s">
        <v>372</v>
      </c>
      <c r="D267" t="s">
        <v>873</v>
      </c>
      <c r="F267">
        <v>100</v>
      </c>
      <c r="G267" t="s">
        <v>25</v>
      </c>
    </row>
    <row r="268" spans="3:10" x14ac:dyDescent="0.25">
      <c r="C268" t="s">
        <v>372</v>
      </c>
      <c r="D268" t="s">
        <v>373</v>
      </c>
      <c r="F268">
        <v>1</v>
      </c>
      <c r="G268" t="s">
        <v>72</v>
      </c>
    </row>
    <row r="269" spans="3:10" x14ac:dyDescent="0.25">
      <c r="C269" t="s">
        <v>374</v>
      </c>
      <c r="D269" t="s">
        <v>375</v>
      </c>
      <c r="F269">
        <v>100</v>
      </c>
      <c r="G269" t="s">
        <v>25</v>
      </c>
    </row>
    <row r="270" spans="3:10" x14ac:dyDescent="0.25">
      <c r="C270" t="s">
        <v>376</v>
      </c>
      <c r="D270" t="s">
        <v>377</v>
      </c>
      <c r="F270">
        <v>1</v>
      </c>
      <c r="G270" t="s">
        <v>72</v>
      </c>
    </row>
    <row r="271" spans="3:10" x14ac:dyDescent="0.25">
      <c r="C271" t="s">
        <v>378</v>
      </c>
      <c r="D271" t="s">
        <v>874</v>
      </c>
      <c r="F271">
        <v>0</v>
      </c>
      <c r="G271" t="s">
        <v>72</v>
      </c>
    </row>
    <row r="272" spans="3:10" x14ac:dyDescent="0.25">
      <c r="C272" t="s">
        <v>380</v>
      </c>
      <c r="D272" t="s">
        <v>875</v>
      </c>
      <c r="F272">
        <v>0</v>
      </c>
      <c r="G272" t="s">
        <v>72</v>
      </c>
    </row>
    <row r="273" spans="3:10" x14ac:dyDescent="0.25">
      <c r="C273" t="s">
        <v>382</v>
      </c>
      <c r="D273" t="s">
        <v>876</v>
      </c>
      <c r="F273">
        <v>1</v>
      </c>
      <c r="G273" t="s">
        <v>72</v>
      </c>
    </row>
    <row r="274" spans="3:10" ht="14" x14ac:dyDescent="0.3">
      <c r="C274" s="218" t="s">
        <v>877</v>
      </c>
      <c r="D274" s="219"/>
      <c r="E274" s="219"/>
      <c r="F274" s="219"/>
      <c r="G274" s="219"/>
      <c r="H274" s="220"/>
      <c r="I274" s="26"/>
      <c r="J274" s="25"/>
    </row>
    <row r="275" spans="3:10" x14ac:dyDescent="0.25">
      <c r="D275" t="s">
        <v>970</v>
      </c>
    </row>
    <row r="276" spans="3:10" ht="14.5" thickBot="1" x14ac:dyDescent="0.35">
      <c r="C276" s="210" t="s">
        <v>954</v>
      </c>
      <c r="D276" s="211"/>
      <c r="E276" s="211"/>
      <c r="F276" s="211"/>
      <c r="G276" s="211"/>
      <c r="H276" s="212"/>
      <c r="I276" s="20"/>
      <c r="J276" s="21"/>
    </row>
    <row r="277" spans="3:10" ht="13" thickBot="1" x14ac:dyDescent="0.3">
      <c r="D277" t="s">
        <v>970</v>
      </c>
    </row>
    <row r="278" spans="3:10" ht="15" x14ac:dyDescent="0.3">
      <c r="C278" s="213" t="s">
        <v>879</v>
      </c>
      <c r="D278" s="214"/>
      <c r="E278" s="214"/>
      <c r="F278" s="214"/>
      <c r="G278" s="214"/>
      <c r="H278" s="214"/>
      <c r="I278" s="44"/>
      <c r="J278" s="45"/>
    </row>
    <row r="279" spans="3:10" x14ac:dyDescent="0.25">
      <c r="C279" t="s">
        <v>384</v>
      </c>
      <c r="D279" t="s">
        <v>385</v>
      </c>
      <c r="F279">
        <v>1</v>
      </c>
      <c r="G279" t="s">
        <v>72</v>
      </c>
    </row>
    <row r="280" spans="3:10" x14ac:dyDescent="0.25">
      <c r="C280" t="s">
        <v>384</v>
      </c>
      <c r="D280" t="s">
        <v>386</v>
      </c>
      <c r="F280">
        <v>1</v>
      </c>
      <c r="G280" t="s">
        <v>72</v>
      </c>
    </row>
    <row r="281" spans="3:10" x14ac:dyDescent="0.25">
      <c r="C281" t="s">
        <v>387</v>
      </c>
      <c r="D281" t="s">
        <v>388</v>
      </c>
      <c r="F281">
        <v>2</v>
      </c>
      <c r="G281" t="s">
        <v>72</v>
      </c>
    </row>
    <row r="282" spans="3:10" x14ac:dyDescent="0.25">
      <c r="C282" t="s">
        <v>389</v>
      </c>
      <c r="D282" t="s">
        <v>390</v>
      </c>
      <c r="F282">
        <v>1</v>
      </c>
      <c r="G282" t="s">
        <v>72</v>
      </c>
    </row>
    <row r="283" spans="3:10" ht="14" x14ac:dyDescent="0.3">
      <c r="C283" s="218" t="s">
        <v>880</v>
      </c>
      <c r="D283" s="219"/>
      <c r="E283" s="219"/>
      <c r="F283" s="219"/>
      <c r="G283" s="219"/>
      <c r="H283" s="220"/>
      <c r="I283" s="26"/>
      <c r="J283" s="25"/>
    </row>
    <row r="284" spans="3:10" x14ac:dyDescent="0.25">
      <c r="D284" t="s">
        <v>970</v>
      </c>
    </row>
    <row r="285" spans="3:10" ht="14.5" thickBot="1" x14ac:dyDescent="0.35">
      <c r="C285" s="210" t="s">
        <v>955</v>
      </c>
      <c r="D285" s="211"/>
      <c r="E285" s="211"/>
      <c r="F285" s="211"/>
      <c r="G285" s="211"/>
      <c r="H285" s="212"/>
      <c r="I285" s="20"/>
      <c r="J285" s="21"/>
    </row>
    <row r="286" spans="3:10" ht="13" thickBot="1" x14ac:dyDescent="0.3">
      <c r="D286" t="s">
        <v>970</v>
      </c>
    </row>
    <row r="287" spans="3:10" ht="15" x14ac:dyDescent="0.3">
      <c r="C287" s="213" t="s">
        <v>882</v>
      </c>
      <c r="D287" s="214"/>
      <c r="E287" s="214"/>
      <c r="F287" s="214"/>
      <c r="G287" s="214"/>
      <c r="H287" s="214"/>
      <c r="I287" s="44"/>
      <c r="J287" s="45"/>
    </row>
    <row r="288" spans="3:10" x14ac:dyDescent="0.25">
      <c r="C288" t="s">
        <v>392</v>
      </c>
      <c r="D288" t="s">
        <v>883</v>
      </c>
      <c r="F288">
        <v>0</v>
      </c>
      <c r="G288" t="s">
        <v>25</v>
      </c>
    </row>
    <row r="289" spans="3:10" x14ac:dyDescent="0.25">
      <c r="C289" t="s">
        <v>394</v>
      </c>
      <c r="D289" t="s">
        <v>395</v>
      </c>
      <c r="F289">
        <v>14</v>
      </c>
      <c r="G289" t="s">
        <v>884</v>
      </c>
    </row>
    <row r="290" spans="3:10" x14ac:dyDescent="0.25">
      <c r="C290" t="s">
        <v>396</v>
      </c>
      <c r="D290" t="s">
        <v>397</v>
      </c>
      <c r="F290">
        <v>0</v>
      </c>
      <c r="G290" t="s">
        <v>25</v>
      </c>
    </row>
    <row r="291" spans="3:10" x14ac:dyDescent="0.25">
      <c r="C291" t="s">
        <v>398</v>
      </c>
      <c r="D291" t="s">
        <v>399</v>
      </c>
      <c r="F291">
        <v>1</v>
      </c>
      <c r="G291" t="s">
        <v>25</v>
      </c>
    </row>
    <row r="292" spans="3:10" ht="14" x14ac:dyDescent="0.3">
      <c r="C292" s="218" t="s">
        <v>980</v>
      </c>
      <c r="D292" s="219"/>
      <c r="E292" s="219"/>
      <c r="F292" s="219"/>
      <c r="G292" s="219"/>
      <c r="H292" s="220"/>
      <c r="I292" s="26"/>
      <c r="J292" s="25"/>
    </row>
    <row r="293" spans="3:10" x14ac:dyDescent="0.25">
      <c r="D293" t="s">
        <v>970</v>
      </c>
    </row>
    <row r="294" spans="3:10" ht="14.5" thickBot="1" x14ac:dyDescent="0.35">
      <c r="C294" s="210" t="s">
        <v>956</v>
      </c>
      <c r="D294" s="211"/>
      <c r="E294" s="211"/>
      <c r="F294" s="211"/>
      <c r="G294" s="211"/>
      <c r="H294" s="212"/>
      <c r="I294" s="20"/>
      <c r="J294" s="21"/>
    </row>
    <row r="295" spans="3:10" ht="13" thickBot="1" x14ac:dyDescent="0.3">
      <c r="D295" t="s">
        <v>970</v>
      </c>
    </row>
    <row r="296" spans="3:10" ht="15" x14ac:dyDescent="0.3">
      <c r="C296" s="213" t="s">
        <v>887</v>
      </c>
      <c r="D296" s="214"/>
      <c r="E296" s="214"/>
      <c r="F296" s="214"/>
      <c r="G296" s="214"/>
      <c r="H296" s="214"/>
      <c r="I296" s="44"/>
      <c r="J296" s="45"/>
    </row>
    <row r="297" spans="3:10" x14ac:dyDescent="0.25">
      <c r="C297" t="s">
        <v>400</v>
      </c>
      <c r="D297" t="s">
        <v>401</v>
      </c>
      <c r="F297">
        <v>100</v>
      </c>
      <c r="G297" t="s">
        <v>25</v>
      </c>
    </row>
    <row r="298" spans="3:10" x14ac:dyDescent="0.25">
      <c r="C298" t="s">
        <v>400</v>
      </c>
      <c r="D298" t="s">
        <v>402</v>
      </c>
      <c r="F298">
        <v>1</v>
      </c>
      <c r="G298" t="s">
        <v>72</v>
      </c>
    </row>
    <row r="299" spans="3:10" ht="14" x14ac:dyDescent="0.3">
      <c r="C299" s="218" t="s">
        <v>888</v>
      </c>
      <c r="D299" s="219"/>
      <c r="E299" s="219"/>
      <c r="F299" s="219"/>
      <c r="G299" s="219"/>
      <c r="H299" s="220"/>
      <c r="I299" s="26"/>
      <c r="J299" s="25"/>
    </row>
    <row r="300" spans="3:10" x14ac:dyDescent="0.25">
      <c r="D300" t="s">
        <v>970</v>
      </c>
    </row>
    <row r="301" spans="3:10" ht="14.5" thickBot="1" x14ac:dyDescent="0.35">
      <c r="C301" s="210" t="s">
        <v>957</v>
      </c>
      <c r="D301" s="211"/>
      <c r="E301" s="211"/>
      <c r="F301" s="211"/>
      <c r="G301" s="211"/>
      <c r="H301" s="212"/>
      <c r="I301" s="20"/>
      <c r="J301" s="21"/>
    </row>
    <row r="302" spans="3:10" ht="13" thickBot="1" x14ac:dyDescent="0.3">
      <c r="D302" t="s">
        <v>970</v>
      </c>
    </row>
    <row r="303" spans="3:10" ht="15" x14ac:dyDescent="0.3">
      <c r="C303" s="213" t="s">
        <v>890</v>
      </c>
      <c r="D303" s="214"/>
      <c r="E303" s="214"/>
      <c r="F303" s="214"/>
      <c r="G303" s="214"/>
      <c r="H303" s="214"/>
      <c r="I303" s="44"/>
      <c r="J303" s="45"/>
    </row>
    <row r="304" spans="3:10" x14ac:dyDescent="0.25">
      <c r="C304" t="s">
        <v>403</v>
      </c>
      <c r="D304" t="s">
        <v>404</v>
      </c>
      <c r="F304">
        <v>100</v>
      </c>
      <c r="G304" t="s">
        <v>25</v>
      </c>
    </row>
    <row r="305" spans="3:10" x14ac:dyDescent="0.25">
      <c r="C305" t="s">
        <v>403</v>
      </c>
      <c r="D305" t="s">
        <v>405</v>
      </c>
      <c r="F305">
        <v>1E-3</v>
      </c>
      <c r="G305" t="s">
        <v>72</v>
      </c>
    </row>
    <row r="306" spans="3:10" ht="14" x14ac:dyDescent="0.3">
      <c r="C306" s="218" t="s">
        <v>891</v>
      </c>
      <c r="D306" s="219"/>
      <c r="E306" s="219"/>
      <c r="F306" s="219"/>
      <c r="G306" s="219"/>
      <c r="H306" s="220"/>
      <c r="I306" s="26"/>
      <c r="J306" s="25"/>
    </row>
    <row r="307" spans="3:10" x14ac:dyDescent="0.25">
      <c r="D307" t="s">
        <v>970</v>
      </c>
    </row>
    <row r="308" spans="3:10" ht="14.5" thickBot="1" x14ac:dyDescent="0.35">
      <c r="C308" s="210" t="s">
        <v>958</v>
      </c>
      <c r="D308" s="211"/>
      <c r="E308" s="211"/>
      <c r="F308" s="211"/>
      <c r="G308" s="211"/>
      <c r="H308" s="212"/>
      <c r="I308" s="20"/>
      <c r="J308" s="21"/>
    </row>
    <row r="309" spans="3:10" ht="13" thickBot="1" x14ac:dyDescent="0.3">
      <c r="D309" t="s">
        <v>970</v>
      </c>
    </row>
    <row r="310" spans="3:10" ht="15" x14ac:dyDescent="0.3">
      <c r="C310" s="213" t="s">
        <v>893</v>
      </c>
      <c r="D310" s="214"/>
      <c r="E310" s="214"/>
      <c r="F310" s="214"/>
      <c r="G310" s="214"/>
      <c r="H310" s="214"/>
      <c r="I310" s="44"/>
      <c r="J310" s="45"/>
    </row>
    <row r="311" spans="3:10" x14ac:dyDescent="0.25">
      <c r="C311" t="s">
        <v>406</v>
      </c>
      <c r="D311" t="s">
        <v>894</v>
      </c>
      <c r="F311">
        <v>100</v>
      </c>
      <c r="G311" t="s">
        <v>25</v>
      </c>
    </row>
    <row r="312" spans="3:10" x14ac:dyDescent="0.25">
      <c r="C312" t="s">
        <v>406</v>
      </c>
      <c r="D312" t="s">
        <v>895</v>
      </c>
      <c r="F312">
        <v>0</v>
      </c>
      <c r="G312" t="s">
        <v>72</v>
      </c>
    </row>
    <row r="313" spans="3:10" ht="14" x14ac:dyDescent="0.3">
      <c r="C313" s="218" t="s">
        <v>981</v>
      </c>
      <c r="D313" s="219"/>
      <c r="E313" s="219"/>
      <c r="F313" s="219"/>
      <c r="G313" s="219"/>
      <c r="H313" s="220"/>
      <c r="I313" s="26"/>
      <c r="J313" s="25"/>
    </row>
    <row r="314" spans="3:10" x14ac:dyDescent="0.25">
      <c r="D314" t="s">
        <v>970</v>
      </c>
    </row>
    <row r="315" spans="3:10" ht="14.5" thickBot="1" x14ac:dyDescent="0.35">
      <c r="C315" s="210" t="s">
        <v>959</v>
      </c>
      <c r="D315" s="211"/>
      <c r="E315" s="211"/>
      <c r="F315" s="211"/>
      <c r="G315" s="211"/>
      <c r="H315" s="212"/>
      <c r="I315" s="20"/>
      <c r="J315" s="21"/>
    </row>
    <row r="316" spans="3:10" ht="13" thickBot="1" x14ac:dyDescent="0.3">
      <c r="D316" t="s">
        <v>970</v>
      </c>
    </row>
    <row r="317" spans="3:10" ht="15" x14ac:dyDescent="0.3">
      <c r="C317" s="213" t="s">
        <v>898</v>
      </c>
      <c r="D317" s="214"/>
      <c r="E317" s="214"/>
      <c r="F317" s="214"/>
      <c r="G317" s="214"/>
      <c r="H317" s="214"/>
      <c r="I317" s="44"/>
      <c r="J317" s="45"/>
    </row>
    <row r="318" spans="3:10" x14ac:dyDescent="0.25">
      <c r="C318" t="s">
        <v>407</v>
      </c>
      <c r="D318" t="s">
        <v>408</v>
      </c>
      <c r="F318">
        <v>100</v>
      </c>
      <c r="G318" t="s">
        <v>25</v>
      </c>
    </row>
    <row r="319" spans="3:10" x14ac:dyDescent="0.25">
      <c r="C319" t="s">
        <v>407</v>
      </c>
      <c r="D319" t="s">
        <v>899</v>
      </c>
      <c r="F319">
        <v>0</v>
      </c>
      <c r="G319" t="s">
        <v>27</v>
      </c>
    </row>
    <row r="320" spans="3:10" ht="14" x14ac:dyDescent="0.3">
      <c r="C320" s="218" t="s">
        <v>900</v>
      </c>
      <c r="D320" s="219"/>
      <c r="E320" s="219"/>
      <c r="F320" s="219"/>
      <c r="G320" s="219"/>
      <c r="H320" s="220"/>
      <c r="I320" s="26"/>
      <c r="J320" s="25"/>
    </row>
    <row r="321" spans="3:10" x14ac:dyDescent="0.25">
      <c r="D321" t="s">
        <v>970</v>
      </c>
    </row>
    <row r="322" spans="3:10" ht="14.5" thickBot="1" x14ac:dyDescent="0.35">
      <c r="C322" s="210" t="s">
        <v>960</v>
      </c>
      <c r="D322" s="211"/>
      <c r="E322" s="211"/>
      <c r="F322" s="211"/>
      <c r="G322" s="211"/>
      <c r="H322" s="212"/>
      <c r="I322" s="20"/>
      <c r="J322" s="21"/>
    </row>
    <row r="323" spans="3:10" ht="13" thickBot="1" x14ac:dyDescent="0.3">
      <c r="D323" t="s">
        <v>970</v>
      </c>
    </row>
    <row r="324" spans="3:10" ht="15" x14ac:dyDescent="0.3">
      <c r="C324" s="213" t="s">
        <v>902</v>
      </c>
      <c r="D324" s="214"/>
      <c r="E324" s="214"/>
      <c r="F324" s="214"/>
      <c r="G324" s="214"/>
      <c r="H324" s="214"/>
      <c r="I324" s="44"/>
      <c r="J324" s="45"/>
    </row>
    <row r="325" spans="3:10" x14ac:dyDescent="0.25">
      <c r="C325" t="s">
        <v>409</v>
      </c>
      <c r="D325" t="s">
        <v>410</v>
      </c>
      <c r="F325">
        <v>1</v>
      </c>
      <c r="G325" t="s">
        <v>72</v>
      </c>
    </row>
    <row r="326" spans="3:10" x14ac:dyDescent="0.25">
      <c r="C326" t="s">
        <v>411</v>
      </c>
      <c r="D326" t="s">
        <v>412</v>
      </c>
      <c r="F326">
        <v>1</v>
      </c>
      <c r="G326" t="s">
        <v>72</v>
      </c>
    </row>
    <row r="327" spans="3:10" ht="14" x14ac:dyDescent="0.3">
      <c r="C327" s="218" t="s">
        <v>903</v>
      </c>
      <c r="D327" s="219"/>
      <c r="E327" s="219"/>
      <c r="F327" s="219"/>
      <c r="G327" s="219"/>
      <c r="H327" s="220"/>
      <c r="I327" s="26"/>
      <c r="J327" s="25"/>
    </row>
    <row r="328" spans="3:10" x14ac:dyDescent="0.25">
      <c r="D328" t="s">
        <v>970</v>
      </c>
    </row>
    <row r="329" spans="3:10" ht="14.5" thickBot="1" x14ac:dyDescent="0.35">
      <c r="C329" s="210" t="s">
        <v>961</v>
      </c>
      <c r="D329" s="211"/>
      <c r="E329" s="211"/>
      <c r="F329" s="211"/>
      <c r="G329" s="211"/>
      <c r="H329" s="212"/>
      <c r="I329" s="20"/>
      <c r="J329" s="21"/>
    </row>
    <row r="330" spans="3:10" ht="13" thickBot="1" x14ac:dyDescent="0.3">
      <c r="D330" t="s">
        <v>970</v>
      </c>
    </row>
    <row r="331" spans="3:10" ht="15" x14ac:dyDescent="0.3">
      <c r="C331" s="213" t="s">
        <v>905</v>
      </c>
      <c r="D331" s="214"/>
      <c r="E331" s="214"/>
      <c r="F331" s="214"/>
      <c r="G331" s="214"/>
      <c r="H331" s="214"/>
      <c r="I331" s="44"/>
      <c r="J331" s="45"/>
    </row>
    <row r="332" spans="3:10" x14ac:dyDescent="0.25">
      <c r="C332" t="s">
        <v>413</v>
      </c>
      <c r="D332" t="s">
        <v>414</v>
      </c>
      <c r="F332">
        <v>1</v>
      </c>
      <c r="G332" t="s">
        <v>72</v>
      </c>
    </row>
    <row r="333" spans="3:10" x14ac:dyDescent="0.25">
      <c r="C333" t="s">
        <v>415</v>
      </c>
      <c r="D333" t="s">
        <v>416</v>
      </c>
      <c r="F333">
        <v>1</v>
      </c>
      <c r="G333" t="s">
        <v>72</v>
      </c>
    </row>
    <row r="334" spans="3:10" x14ac:dyDescent="0.25">
      <c r="C334" t="s">
        <v>417</v>
      </c>
      <c r="D334" t="s">
        <v>418</v>
      </c>
      <c r="F334">
        <v>1</v>
      </c>
      <c r="G334" t="s">
        <v>72</v>
      </c>
    </row>
    <row r="335" spans="3:10" x14ac:dyDescent="0.25">
      <c r="C335" t="s">
        <v>419</v>
      </c>
      <c r="D335" t="s">
        <v>420</v>
      </c>
      <c r="F335">
        <v>0</v>
      </c>
      <c r="G335" t="s">
        <v>27</v>
      </c>
    </row>
    <row r="336" spans="3:10" ht="14" x14ac:dyDescent="0.3">
      <c r="C336" s="218" t="s">
        <v>906</v>
      </c>
      <c r="D336" s="219"/>
      <c r="E336" s="219"/>
      <c r="F336" s="219"/>
      <c r="G336" s="219"/>
      <c r="H336" s="220"/>
      <c r="I336" s="26"/>
      <c r="J336" s="25"/>
    </row>
    <row r="337" spans="3:10" x14ac:dyDescent="0.25">
      <c r="D337" t="s">
        <v>970</v>
      </c>
    </row>
    <row r="338" spans="3:10" ht="14.5" thickBot="1" x14ac:dyDescent="0.35">
      <c r="C338" s="210" t="s">
        <v>962</v>
      </c>
      <c r="D338" s="211"/>
      <c r="E338" s="211"/>
      <c r="F338" s="211"/>
      <c r="G338" s="211"/>
      <c r="H338" s="212"/>
      <c r="I338" s="20"/>
      <c r="J338" s="21"/>
    </row>
    <row r="339" spans="3:10" ht="13" thickBot="1" x14ac:dyDescent="0.3">
      <c r="D339" t="s">
        <v>970</v>
      </c>
    </row>
    <row r="340" spans="3:10" ht="15" x14ac:dyDescent="0.3">
      <c r="C340" s="213" t="s">
        <v>908</v>
      </c>
      <c r="D340" s="214"/>
      <c r="E340" s="214"/>
      <c r="F340" s="214"/>
      <c r="G340" s="214"/>
      <c r="H340" s="214"/>
      <c r="I340" s="44"/>
      <c r="J340" s="45"/>
    </row>
    <row r="341" spans="3:10" x14ac:dyDescent="0.25">
      <c r="C341" t="s">
        <v>421</v>
      </c>
      <c r="D341" t="s">
        <v>422</v>
      </c>
      <c r="F341">
        <v>1</v>
      </c>
      <c r="G341" t="s">
        <v>72</v>
      </c>
    </row>
    <row r="342" spans="3:10" x14ac:dyDescent="0.25">
      <c r="C342" t="s">
        <v>423</v>
      </c>
      <c r="D342" t="s">
        <v>424</v>
      </c>
      <c r="F342">
        <v>0</v>
      </c>
      <c r="G342" t="s">
        <v>72</v>
      </c>
    </row>
    <row r="343" spans="3:10" x14ac:dyDescent="0.25">
      <c r="C343" t="s">
        <v>426</v>
      </c>
      <c r="D343" t="s">
        <v>427</v>
      </c>
      <c r="F343">
        <v>0</v>
      </c>
      <c r="G343" t="s">
        <v>72</v>
      </c>
    </row>
    <row r="344" spans="3:10" x14ac:dyDescent="0.25">
      <c r="C344" t="s">
        <v>428</v>
      </c>
      <c r="D344" t="s">
        <v>429</v>
      </c>
      <c r="F344">
        <v>0</v>
      </c>
      <c r="G344" t="s">
        <v>72</v>
      </c>
    </row>
    <row r="345" spans="3:10" ht="14" x14ac:dyDescent="0.3">
      <c r="C345" s="218" t="s">
        <v>909</v>
      </c>
      <c r="D345" s="219"/>
      <c r="E345" s="219"/>
      <c r="F345" s="219"/>
      <c r="G345" s="219"/>
      <c r="H345" s="220"/>
      <c r="I345" s="26"/>
      <c r="J345" s="25"/>
    </row>
    <row r="346" spans="3:10" x14ac:dyDescent="0.25">
      <c r="D346" t="s">
        <v>970</v>
      </c>
    </row>
    <row r="347" spans="3:10" ht="14.5" thickBot="1" x14ac:dyDescent="0.35">
      <c r="C347" s="210" t="s">
        <v>963</v>
      </c>
      <c r="D347" s="211"/>
      <c r="E347" s="211"/>
      <c r="F347" s="211"/>
      <c r="G347" s="211"/>
      <c r="H347" s="212"/>
      <c r="I347" s="20"/>
      <c r="J347" s="21"/>
    </row>
    <row r="348" spans="3:10" ht="13" thickBot="1" x14ac:dyDescent="0.3">
      <c r="D348" t="s">
        <v>970</v>
      </c>
    </row>
    <row r="349" spans="3:10" ht="15" x14ac:dyDescent="0.3">
      <c r="C349" s="213" t="s">
        <v>911</v>
      </c>
      <c r="D349" s="214"/>
      <c r="E349" s="214"/>
      <c r="F349" s="214"/>
      <c r="G349" s="214"/>
      <c r="H349" s="214"/>
      <c r="I349" s="44"/>
      <c r="J349" s="45"/>
    </row>
    <row r="350" spans="3:10" x14ac:dyDescent="0.25">
      <c r="C350" t="s">
        <v>430</v>
      </c>
      <c r="D350" t="s">
        <v>431</v>
      </c>
      <c r="F350">
        <v>1</v>
      </c>
      <c r="G350" t="s">
        <v>72</v>
      </c>
    </row>
    <row r="351" spans="3:10" x14ac:dyDescent="0.25">
      <c r="C351" t="s">
        <v>430</v>
      </c>
      <c r="D351" t="s">
        <v>912</v>
      </c>
      <c r="F351">
        <v>4635.4544444444437</v>
      </c>
      <c r="G351" t="s">
        <v>309</v>
      </c>
    </row>
    <row r="352" spans="3:10" x14ac:dyDescent="0.25">
      <c r="C352" t="s">
        <v>430</v>
      </c>
      <c r="D352" t="s">
        <v>432</v>
      </c>
      <c r="F352">
        <v>2414.3944444444442</v>
      </c>
      <c r="G352" t="s">
        <v>309</v>
      </c>
    </row>
    <row r="353" spans="3:10" x14ac:dyDescent="0.25">
      <c r="C353" t="s">
        <v>433</v>
      </c>
      <c r="D353" t="s">
        <v>434</v>
      </c>
      <c r="F353">
        <v>0</v>
      </c>
      <c r="G353" t="s">
        <v>72</v>
      </c>
    </row>
    <row r="354" spans="3:10" x14ac:dyDescent="0.25">
      <c r="C354" t="s">
        <v>435</v>
      </c>
      <c r="D354" t="s">
        <v>436</v>
      </c>
      <c r="F354">
        <v>0</v>
      </c>
      <c r="G354" t="s">
        <v>72</v>
      </c>
    </row>
    <row r="355" spans="3:10" x14ac:dyDescent="0.25">
      <c r="C355" t="s">
        <v>437</v>
      </c>
      <c r="D355" t="s">
        <v>438</v>
      </c>
      <c r="F355">
        <v>0</v>
      </c>
      <c r="G355" t="s">
        <v>72</v>
      </c>
    </row>
    <row r="356" spans="3:10" x14ac:dyDescent="0.25">
      <c r="C356" t="s">
        <v>439</v>
      </c>
      <c r="D356" t="s">
        <v>440</v>
      </c>
      <c r="F356">
        <v>0</v>
      </c>
      <c r="G356" t="s">
        <v>72</v>
      </c>
    </row>
    <row r="357" spans="3:10" x14ac:dyDescent="0.25">
      <c r="C357" t="s">
        <v>441</v>
      </c>
      <c r="D357" t="s">
        <v>442</v>
      </c>
      <c r="F357">
        <v>1</v>
      </c>
      <c r="G357" t="s">
        <v>72</v>
      </c>
    </row>
    <row r="358" spans="3:10" x14ac:dyDescent="0.25">
      <c r="C358" t="s">
        <v>433</v>
      </c>
      <c r="D358" t="s">
        <v>443</v>
      </c>
      <c r="F358">
        <v>1230.26</v>
      </c>
      <c r="G358" t="s">
        <v>23</v>
      </c>
    </row>
    <row r="359" spans="3:10" x14ac:dyDescent="0.25">
      <c r="C359" t="s">
        <v>433</v>
      </c>
      <c r="D359" t="s">
        <v>444</v>
      </c>
      <c r="F359">
        <v>1456.67</v>
      </c>
      <c r="G359" t="s">
        <v>23</v>
      </c>
    </row>
    <row r="360" spans="3:10" x14ac:dyDescent="0.25">
      <c r="C360" t="s">
        <v>433</v>
      </c>
      <c r="D360" t="s">
        <v>445</v>
      </c>
      <c r="F360">
        <v>267</v>
      </c>
      <c r="G360" t="s">
        <v>23</v>
      </c>
    </row>
    <row r="361" spans="3:10" x14ac:dyDescent="0.25">
      <c r="C361" t="s">
        <v>433</v>
      </c>
      <c r="D361" t="s">
        <v>446</v>
      </c>
      <c r="F361">
        <v>5140.3</v>
      </c>
      <c r="G361" t="s">
        <v>27</v>
      </c>
    </row>
    <row r="362" spans="3:10" x14ac:dyDescent="0.25">
      <c r="C362" t="s">
        <v>433</v>
      </c>
      <c r="D362" t="s">
        <v>447</v>
      </c>
      <c r="F362">
        <v>1188.9100000000001</v>
      </c>
      <c r="G362" t="s">
        <v>27</v>
      </c>
    </row>
    <row r="363" spans="3:10" x14ac:dyDescent="0.25">
      <c r="C363" t="s">
        <v>449</v>
      </c>
      <c r="D363" t="s">
        <v>450</v>
      </c>
      <c r="F363">
        <v>1</v>
      </c>
      <c r="G363" t="s">
        <v>72</v>
      </c>
    </row>
    <row r="364" spans="3:10" x14ac:dyDescent="0.25">
      <c r="C364" t="s">
        <v>451</v>
      </c>
      <c r="D364" t="s">
        <v>913</v>
      </c>
      <c r="F364">
        <v>1</v>
      </c>
      <c r="G364" t="s">
        <v>72</v>
      </c>
    </row>
    <row r="365" spans="3:10" x14ac:dyDescent="0.25">
      <c r="C365" t="s">
        <v>453</v>
      </c>
      <c r="D365" t="s">
        <v>454</v>
      </c>
      <c r="F365">
        <v>0</v>
      </c>
      <c r="G365" t="s">
        <v>72</v>
      </c>
    </row>
    <row r="366" spans="3:10" x14ac:dyDescent="0.25">
      <c r="C366" t="s">
        <v>455</v>
      </c>
      <c r="D366" t="s">
        <v>456</v>
      </c>
      <c r="F366">
        <v>1</v>
      </c>
      <c r="G366" t="s">
        <v>72</v>
      </c>
    </row>
    <row r="367" spans="3:10" ht="14" x14ac:dyDescent="0.3">
      <c r="C367" s="218" t="s">
        <v>914</v>
      </c>
      <c r="D367" s="219"/>
      <c r="E367" s="219"/>
      <c r="F367" s="219"/>
      <c r="G367" s="219"/>
      <c r="H367" s="220"/>
      <c r="I367" s="26"/>
      <c r="J367" s="25"/>
    </row>
    <row r="368" spans="3:10" x14ac:dyDescent="0.25">
      <c r="D368" t="s">
        <v>970</v>
      </c>
    </row>
    <row r="369" spans="3:10" ht="14.5" thickBot="1" x14ac:dyDescent="0.35">
      <c r="C369" s="210" t="s">
        <v>964</v>
      </c>
      <c r="D369" s="211"/>
      <c r="E369" s="211"/>
      <c r="F369" s="211"/>
      <c r="G369" s="211"/>
      <c r="H369" s="212"/>
      <c r="I369" s="20"/>
      <c r="J369" s="21"/>
    </row>
    <row r="370" spans="3:10" ht="13" thickBot="1" x14ac:dyDescent="0.3">
      <c r="D370" t="s">
        <v>970</v>
      </c>
    </row>
    <row r="371" spans="3:10" ht="15" x14ac:dyDescent="0.3">
      <c r="C371" s="213" t="s">
        <v>916</v>
      </c>
      <c r="D371" s="214"/>
      <c r="E371" s="214"/>
      <c r="F371" s="214"/>
      <c r="G371" s="214"/>
      <c r="H371" s="214"/>
      <c r="I371" s="44"/>
      <c r="J371" s="45"/>
    </row>
    <row r="372" spans="3:10" x14ac:dyDescent="0.25">
      <c r="C372" t="s">
        <v>457</v>
      </c>
      <c r="D372" t="s">
        <v>458</v>
      </c>
      <c r="F372">
        <v>1</v>
      </c>
      <c r="G372" t="s">
        <v>72</v>
      </c>
    </row>
    <row r="373" spans="3:10" x14ac:dyDescent="0.25">
      <c r="C373" t="s">
        <v>457</v>
      </c>
      <c r="D373" t="s">
        <v>459</v>
      </c>
      <c r="F373">
        <v>465</v>
      </c>
      <c r="G373" t="s">
        <v>23</v>
      </c>
    </row>
    <row r="374" spans="3:10" x14ac:dyDescent="0.25">
      <c r="C374" t="s">
        <v>457</v>
      </c>
      <c r="D374" t="s">
        <v>460</v>
      </c>
      <c r="F374">
        <v>60</v>
      </c>
      <c r="G374" t="s">
        <v>23</v>
      </c>
    </row>
    <row r="375" spans="3:10" x14ac:dyDescent="0.25">
      <c r="C375" t="s">
        <v>457</v>
      </c>
      <c r="D375" t="s">
        <v>917</v>
      </c>
      <c r="F375">
        <v>282</v>
      </c>
      <c r="G375" t="s">
        <v>23</v>
      </c>
    </row>
    <row r="376" spans="3:10" ht="14" x14ac:dyDescent="0.3">
      <c r="C376" s="218" t="s">
        <v>918</v>
      </c>
      <c r="D376" s="219"/>
      <c r="E376" s="219"/>
      <c r="F376" s="219"/>
      <c r="G376" s="219"/>
      <c r="H376" s="220"/>
      <c r="I376" s="26"/>
      <c r="J376" s="25"/>
    </row>
    <row r="377" spans="3:10" x14ac:dyDescent="0.25">
      <c r="D377" t="s">
        <v>970</v>
      </c>
    </row>
    <row r="378" spans="3:10" ht="14.5" thickBot="1" x14ac:dyDescent="0.35">
      <c r="C378" s="210" t="s">
        <v>965</v>
      </c>
      <c r="D378" s="211"/>
      <c r="E378" s="211"/>
      <c r="F378" s="211"/>
      <c r="G378" s="211"/>
      <c r="H378" s="212"/>
      <c r="I378" s="20"/>
      <c r="J378" s="21"/>
    </row>
    <row r="379" spans="3:10" ht="13" thickBot="1" x14ac:dyDescent="0.3"/>
    <row r="380" spans="3:10" ht="15" x14ac:dyDescent="0.3">
      <c r="C380" s="213" t="s">
        <v>920</v>
      </c>
      <c r="D380" s="214"/>
      <c r="E380" s="214"/>
      <c r="F380" s="214"/>
      <c r="G380" s="214"/>
      <c r="H380" s="214"/>
      <c r="I380" s="44"/>
      <c r="J380" s="45"/>
    </row>
    <row r="381" spans="3:10" x14ac:dyDescent="0.25">
      <c r="C381" t="s">
        <v>461</v>
      </c>
    </row>
    <row r="382" spans="3:10" ht="14" x14ac:dyDescent="0.3">
      <c r="C382" s="218" t="s">
        <v>921</v>
      </c>
      <c r="D382" s="219"/>
      <c r="E382" s="219"/>
      <c r="F382" s="219"/>
      <c r="G382" s="219"/>
      <c r="H382" s="220"/>
      <c r="I382" s="26"/>
      <c r="J382" s="25"/>
    </row>
    <row r="383" spans="3:10" ht="14.5" thickBot="1" x14ac:dyDescent="0.35">
      <c r="C383" s="210" t="s">
        <v>966</v>
      </c>
      <c r="D383" s="211"/>
      <c r="E383" s="211"/>
      <c r="F383" s="211"/>
      <c r="G383" s="211"/>
      <c r="H383" s="212"/>
      <c r="I383" s="20"/>
      <c r="J383" s="21"/>
    </row>
    <row r="384" spans="3:10" ht="13" thickBot="1" x14ac:dyDescent="0.3"/>
    <row r="385" spans="3:10" ht="15" x14ac:dyDescent="0.3">
      <c r="C385" s="213" t="s">
        <v>926</v>
      </c>
      <c r="D385" s="214"/>
      <c r="E385" s="214"/>
      <c r="F385" s="214"/>
      <c r="G385" s="214"/>
      <c r="H385" s="214"/>
      <c r="I385" s="44"/>
      <c r="J385" s="45"/>
    </row>
    <row r="386" spans="3:10" x14ac:dyDescent="0.25">
      <c r="C386" t="s">
        <v>468</v>
      </c>
      <c r="D386" t="s">
        <v>13</v>
      </c>
    </row>
    <row r="387" spans="3:10" x14ac:dyDescent="0.25">
      <c r="C387" t="s">
        <v>469</v>
      </c>
      <c r="D387" t="s">
        <v>14</v>
      </c>
    </row>
    <row r="388" spans="3:10" x14ac:dyDescent="0.25">
      <c r="C388" t="s">
        <v>470</v>
      </c>
      <c r="D388" t="s">
        <v>15</v>
      </c>
    </row>
    <row r="389" spans="3:10" x14ac:dyDescent="0.25">
      <c r="C389" t="s">
        <v>471</v>
      </c>
      <c r="D389" t="s">
        <v>16</v>
      </c>
    </row>
    <row r="390" spans="3:10" x14ac:dyDescent="0.25">
      <c r="C390" t="s">
        <v>472</v>
      </c>
      <c r="D390" t="s">
        <v>17</v>
      </c>
    </row>
    <row r="391" spans="3:10" x14ac:dyDescent="0.25">
      <c r="C391" t="s">
        <v>473</v>
      </c>
      <c r="D391" t="s">
        <v>18</v>
      </c>
    </row>
    <row r="392" spans="3:10" x14ac:dyDescent="0.25">
      <c r="C392" t="s">
        <v>474</v>
      </c>
      <c r="D392" t="s">
        <v>19</v>
      </c>
    </row>
    <row r="393" spans="3:10" ht="14" x14ac:dyDescent="0.3">
      <c r="C393" s="218" t="s">
        <v>927</v>
      </c>
      <c r="D393" s="219"/>
      <c r="E393" s="219"/>
      <c r="F393" s="219"/>
      <c r="G393" s="219"/>
      <c r="H393" s="220"/>
      <c r="I393" s="26"/>
      <c r="J393" s="25"/>
    </row>
    <row r="394" spans="3:10" ht="14.5" thickBot="1" x14ac:dyDescent="0.35">
      <c r="C394" s="210" t="s">
        <v>967</v>
      </c>
      <c r="D394" s="211"/>
      <c r="E394" s="211"/>
      <c r="F394" s="211"/>
      <c r="G394" s="211"/>
      <c r="H394" s="212"/>
      <c r="I394" s="20"/>
      <c r="J394" s="21"/>
    </row>
  </sheetData>
  <mergeCells count="98">
    <mergeCell ref="C393:H393"/>
    <mergeCell ref="C382:H382"/>
    <mergeCell ref="C376:H376"/>
    <mergeCell ref="C367:H367"/>
    <mergeCell ref="C141:H141"/>
    <mergeCell ref="C172:H172"/>
    <mergeCell ref="C201:H201"/>
    <mergeCell ref="C197:H197"/>
    <mergeCell ref="C193:H193"/>
    <mergeCell ref="C189:H189"/>
    <mergeCell ref="C345:H345"/>
    <mergeCell ref="C336:H336"/>
    <mergeCell ref="C327:H327"/>
    <mergeCell ref="C320:H320"/>
    <mergeCell ref="C313:H313"/>
    <mergeCell ref="C306:H306"/>
    <mergeCell ref="C299:H299"/>
    <mergeCell ref="C292:H292"/>
    <mergeCell ref="C283:H283"/>
    <mergeCell ref="C274:H274"/>
    <mergeCell ref="C261:H261"/>
    <mergeCell ref="C249:H249"/>
    <mergeCell ref="C223:H223"/>
    <mergeCell ref="C219:H219"/>
    <mergeCell ref="C214:H214"/>
    <mergeCell ref="C210:H210"/>
    <mergeCell ref="C205:H205"/>
    <mergeCell ref="C157:H157"/>
    <mergeCell ref="C162:H162"/>
    <mergeCell ref="C166:H166"/>
    <mergeCell ref="C177:H177"/>
    <mergeCell ref="C185:H185"/>
    <mergeCell ref="C181:H181"/>
    <mergeCell ref="C118:H118"/>
    <mergeCell ref="C125:H125"/>
    <mergeCell ref="C130:H130"/>
    <mergeCell ref="C135:H135"/>
    <mergeCell ref="C148:H148"/>
    <mergeCell ref="C49:H49"/>
    <mergeCell ref="C6:H6"/>
    <mergeCell ref="C48:H48"/>
    <mergeCell ref="C41:H41"/>
    <mergeCell ref="C34:H34"/>
    <mergeCell ref="C26:H26"/>
    <mergeCell ref="C24:H24"/>
    <mergeCell ref="C50:H50"/>
    <mergeCell ref="C70:H70"/>
    <mergeCell ref="C76:H76"/>
    <mergeCell ref="C109:H109"/>
    <mergeCell ref="C88:H88"/>
    <mergeCell ref="C75:H75"/>
    <mergeCell ref="C84:H84"/>
    <mergeCell ref="C101:H101"/>
    <mergeCell ref="C94:H94"/>
    <mergeCell ref="C74:H74"/>
    <mergeCell ref="C60:H60"/>
    <mergeCell ref="C65:H65"/>
    <mergeCell ref="C69:H69"/>
    <mergeCell ref="C62:H62"/>
    <mergeCell ref="C68:H68"/>
    <mergeCell ref="C340:H340"/>
    <mergeCell ref="C349:H349"/>
    <mergeCell ref="C380:H380"/>
    <mergeCell ref="C385:H385"/>
    <mergeCell ref="C378:H378"/>
    <mergeCell ref="C383:H383"/>
    <mergeCell ref="C152:H152"/>
    <mergeCell ref="C371:H371"/>
    <mergeCell ref="C338:H338"/>
    <mergeCell ref="C347:H347"/>
    <mergeCell ref="C369:H369"/>
    <mergeCell ref="C296:H296"/>
    <mergeCell ref="C303:H303"/>
    <mergeCell ref="C310:H310"/>
    <mergeCell ref="C317:H317"/>
    <mergeCell ref="C324:H324"/>
    <mergeCell ref="C227:H227"/>
    <mergeCell ref="C253:H253"/>
    <mergeCell ref="C265:H265"/>
    <mergeCell ref="C278:H278"/>
    <mergeCell ref="C287:H287"/>
    <mergeCell ref="C331:H331"/>
    <mergeCell ref="C394:H394"/>
    <mergeCell ref="C86:H86"/>
    <mergeCell ref="C107:H107"/>
    <mergeCell ref="C150:H150"/>
    <mergeCell ref="C179:H179"/>
    <mergeCell ref="C225:H225"/>
    <mergeCell ref="C251:H251"/>
    <mergeCell ref="C263:H263"/>
    <mergeCell ref="C276:H276"/>
    <mergeCell ref="C285:H285"/>
    <mergeCell ref="C294:H294"/>
    <mergeCell ref="C301:H301"/>
    <mergeCell ref="C308:H308"/>
    <mergeCell ref="C315:H315"/>
    <mergeCell ref="C322:H322"/>
    <mergeCell ref="C329:H32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6E70-8661-4DAF-8A01-6255BAF58881}">
  <sheetPr codeName="Sheet10"/>
  <dimension ref="A1:F273"/>
  <sheetViews>
    <sheetView workbookViewId="0">
      <selection activeCell="C17" sqref="C17"/>
    </sheetView>
  </sheetViews>
  <sheetFormatPr defaultRowHeight="12.5" x14ac:dyDescent="0.25"/>
  <cols>
    <col min="1" max="1" width="17.7265625" bestFit="1" customWidth="1"/>
    <col min="2" max="2" width="39.26953125" customWidth="1"/>
    <col min="3" max="5" width="17.7265625" customWidth="1"/>
    <col min="6" max="6" width="39.26953125" bestFit="1" customWidth="1"/>
  </cols>
  <sheetData>
    <row r="1" spans="1:6" ht="16" x14ac:dyDescent="0.4">
      <c r="A1" s="153" t="s">
        <v>982</v>
      </c>
      <c r="B1" s="154" t="s">
        <v>983</v>
      </c>
      <c r="C1" s="154" t="s">
        <v>984</v>
      </c>
      <c r="D1" s="154" t="s">
        <v>985</v>
      </c>
      <c r="E1" s="154" t="s">
        <v>986</v>
      </c>
      <c r="F1" s="154" t="s">
        <v>20</v>
      </c>
    </row>
    <row r="2" spans="1:6" x14ac:dyDescent="0.25">
      <c r="A2">
        <v>1</v>
      </c>
      <c r="F2" t="s">
        <v>987</v>
      </c>
    </row>
    <row r="3" spans="1:6" x14ac:dyDescent="0.25">
      <c r="A3" t="s">
        <v>487</v>
      </c>
      <c r="F3" t="s">
        <v>205</v>
      </c>
    </row>
    <row r="4" spans="1:6" x14ac:dyDescent="0.25">
      <c r="A4" t="s">
        <v>488</v>
      </c>
      <c r="F4" t="s">
        <v>71</v>
      </c>
    </row>
    <row r="5" spans="1:6" x14ac:dyDescent="0.25">
      <c r="A5" t="s">
        <v>489</v>
      </c>
      <c r="F5" t="s">
        <v>73</v>
      </c>
    </row>
    <row r="6" spans="1:6" x14ac:dyDescent="0.25">
      <c r="A6" t="s">
        <v>490</v>
      </c>
      <c r="F6" t="s">
        <v>74</v>
      </c>
    </row>
    <row r="7" spans="1:6" x14ac:dyDescent="0.25">
      <c r="A7" t="s">
        <v>491</v>
      </c>
      <c r="F7" t="s">
        <v>75</v>
      </c>
    </row>
    <row r="8" spans="1:6" x14ac:dyDescent="0.25">
      <c r="A8" t="s">
        <v>492</v>
      </c>
      <c r="F8" t="s">
        <v>76</v>
      </c>
    </row>
    <row r="9" spans="1:6" x14ac:dyDescent="0.25">
      <c r="A9" t="s">
        <v>493</v>
      </c>
      <c r="F9" t="s">
        <v>464</v>
      </c>
    </row>
    <row r="10" spans="1:6" x14ac:dyDescent="0.25">
      <c r="A10" t="s">
        <v>494</v>
      </c>
      <c r="F10" t="s">
        <v>466</v>
      </c>
    </row>
    <row r="11" spans="1:6" x14ac:dyDescent="0.25">
      <c r="A11" t="s">
        <v>495</v>
      </c>
      <c r="F11" t="s">
        <v>496</v>
      </c>
    </row>
    <row r="12" spans="1:6" x14ac:dyDescent="0.25">
      <c r="A12" t="s">
        <v>497</v>
      </c>
      <c r="F12" t="s">
        <v>78</v>
      </c>
    </row>
    <row r="13" spans="1:6" x14ac:dyDescent="0.25">
      <c r="A13" t="s">
        <v>499</v>
      </c>
      <c r="F13" t="s">
        <v>80</v>
      </c>
    </row>
    <row r="14" spans="1:6" x14ac:dyDescent="0.25">
      <c r="A14" t="s">
        <v>500</v>
      </c>
      <c r="F14" t="s">
        <v>82</v>
      </c>
    </row>
    <row r="15" spans="1:6" x14ac:dyDescent="0.25">
      <c r="A15" t="s">
        <v>501</v>
      </c>
      <c r="F15" t="s">
        <v>84</v>
      </c>
    </row>
    <row r="16" spans="1:6" x14ac:dyDescent="0.25">
      <c r="A16" t="s">
        <v>502</v>
      </c>
      <c r="F16" t="s">
        <v>64</v>
      </c>
    </row>
    <row r="17" spans="1:6" x14ac:dyDescent="0.25">
      <c r="A17" t="s">
        <v>503</v>
      </c>
      <c r="F17" t="s">
        <v>67</v>
      </c>
    </row>
    <row r="18" spans="1:6" x14ac:dyDescent="0.25">
      <c r="A18" t="s">
        <v>504</v>
      </c>
      <c r="F18" t="s">
        <v>69</v>
      </c>
    </row>
    <row r="19" spans="1:6" x14ac:dyDescent="0.25">
      <c r="A19" t="s">
        <v>766</v>
      </c>
      <c r="F19" t="s">
        <v>767</v>
      </c>
    </row>
    <row r="20" spans="1:6" x14ac:dyDescent="0.25">
      <c r="A20" t="s">
        <v>505</v>
      </c>
      <c r="F20" t="s">
        <v>86</v>
      </c>
    </row>
    <row r="21" spans="1:6" x14ac:dyDescent="0.25">
      <c r="A21" t="s">
        <v>506</v>
      </c>
      <c r="F21" t="s">
        <v>507</v>
      </c>
    </row>
    <row r="22" spans="1:6" x14ac:dyDescent="0.25">
      <c r="A22" t="s">
        <v>508</v>
      </c>
      <c r="F22" t="s">
        <v>90</v>
      </c>
    </row>
    <row r="23" spans="1:6" x14ac:dyDescent="0.25">
      <c r="A23" t="s">
        <v>509</v>
      </c>
      <c r="F23" t="s">
        <v>93</v>
      </c>
    </row>
    <row r="24" spans="1:6" x14ac:dyDescent="0.25">
      <c r="A24" t="s">
        <v>510</v>
      </c>
      <c r="F24" t="s">
        <v>95</v>
      </c>
    </row>
    <row r="25" spans="1:6" x14ac:dyDescent="0.25">
      <c r="A25" t="s">
        <v>511</v>
      </c>
      <c r="F25" t="s">
        <v>97</v>
      </c>
    </row>
    <row r="26" spans="1:6" x14ac:dyDescent="0.25">
      <c r="A26" t="s">
        <v>512</v>
      </c>
      <c r="F26" t="s">
        <v>99</v>
      </c>
    </row>
    <row r="27" spans="1:6" x14ac:dyDescent="0.25">
      <c r="A27" t="s">
        <v>513</v>
      </c>
      <c r="F27" t="s">
        <v>514</v>
      </c>
    </row>
    <row r="28" spans="1:6" x14ac:dyDescent="0.25">
      <c r="A28" t="s">
        <v>515</v>
      </c>
      <c r="F28" t="s">
        <v>102</v>
      </c>
    </row>
    <row r="29" spans="1:6" x14ac:dyDescent="0.25">
      <c r="A29" t="s">
        <v>516</v>
      </c>
      <c r="F29" t="s">
        <v>104</v>
      </c>
    </row>
    <row r="30" spans="1:6" x14ac:dyDescent="0.25">
      <c r="A30" t="s">
        <v>517</v>
      </c>
      <c r="F30" t="s">
        <v>106</v>
      </c>
    </row>
    <row r="31" spans="1:6" x14ac:dyDescent="0.25">
      <c r="A31" t="s">
        <v>518</v>
      </c>
      <c r="F31" t="s">
        <v>108</v>
      </c>
    </row>
    <row r="32" spans="1:6" x14ac:dyDescent="0.25">
      <c r="A32" t="s">
        <v>519</v>
      </c>
      <c r="F32" t="s">
        <v>110</v>
      </c>
    </row>
    <row r="33" spans="1:6" x14ac:dyDescent="0.25">
      <c r="A33" t="s">
        <v>520</v>
      </c>
      <c r="F33" t="s">
        <v>112</v>
      </c>
    </row>
    <row r="34" spans="1:6" x14ac:dyDescent="0.25">
      <c r="A34" t="s">
        <v>521</v>
      </c>
      <c r="F34" t="s">
        <v>114</v>
      </c>
    </row>
    <row r="35" spans="1:6" x14ac:dyDescent="0.25">
      <c r="A35" t="s">
        <v>522</v>
      </c>
      <c r="F35" t="s">
        <v>116</v>
      </c>
    </row>
    <row r="36" spans="1:6" x14ac:dyDescent="0.25">
      <c r="A36" t="s">
        <v>523</v>
      </c>
      <c r="F36" t="s">
        <v>118</v>
      </c>
    </row>
    <row r="37" spans="1:6" x14ac:dyDescent="0.25">
      <c r="A37" t="s">
        <v>524</v>
      </c>
      <c r="F37" t="s">
        <v>120</v>
      </c>
    </row>
    <row r="38" spans="1:6" x14ac:dyDescent="0.25">
      <c r="A38" t="s">
        <v>525</v>
      </c>
      <c r="F38" t="s">
        <v>122</v>
      </c>
    </row>
    <row r="39" spans="1:6" x14ac:dyDescent="0.25">
      <c r="A39" t="s">
        <v>526</v>
      </c>
      <c r="F39" t="s">
        <v>124</v>
      </c>
    </row>
    <row r="40" spans="1:6" x14ac:dyDescent="0.25">
      <c r="A40" t="s">
        <v>527</v>
      </c>
      <c r="F40" t="s">
        <v>126</v>
      </c>
    </row>
    <row r="41" spans="1:6" x14ac:dyDescent="0.25">
      <c r="A41" t="s">
        <v>528</v>
      </c>
      <c r="F41" t="s">
        <v>128</v>
      </c>
    </row>
    <row r="42" spans="1:6" x14ac:dyDescent="0.25">
      <c r="A42">
        <v>2</v>
      </c>
      <c r="F42" t="s">
        <v>988</v>
      </c>
    </row>
    <row r="43" spans="1:6" x14ac:dyDescent="0.25">
      <c r="A43" t="s">
        <v>529</v>
      </c>
      <c r="F43" t="s">
        <v>130</v>
      </c>
    </row>
    <row r="44" spans="1:6" x14ac:dyDescent="0.25">
      <c r="A44" t="s">
        <v>530</v>
      </c>
      <c r="F44" t="s">
        <v>159</v>
      </c>
    </row>
    <row r="45" spans="1:6" x14ac:dyDescent="0.25">
      <c r="A45" t="s">
        <v>532</v>
      </c>
      <c r="F45" t="s">
        <v>131</v>
      </c>
    </row>
    <row r="46" spans="1:6" x14ac:dyDescent="0.25">
      <c r="A46" t="s">
        <v>533</v>
      </c>
      <c r="F46" t="s">
        <v>133</v>
      </c>
    </row>
    <row r="47" spans="1:6" x14ac:dyDescent="0.25">
      <c r="A47" t="s">
        <v>534</v>
      </c>
      <c r="F47" t="s">
        <v>161</v>
      </c>
    </row>
    <row r="48" spans="1:6" x14ac:dyDescent="0.25">
      <c r="A48" t="s">
        <v>535</v>
      </c>
      <c r="F48" t="s">
        <v>536</v>
      </c>
    </row>
    <row r="49" spans="1:6" x14ac:dyDescent="0.25">
      <c r="A49" t="s">
        <v>537</v>
      </c>
      <c r="F49" t="s">
        <v>538</v>
      </c>
    </row>
    <row r="50" spans="1:6" x14ac:dyDescent="0.25">
      <c r="A50" t="s">
        <v>539</v>
      </c>
      <c r="F50" t="s">
        <v>140</v>
      </c>
    </row>
    <row r="51" spans="1:6" x14ac:dyDescent="0.25">
      <c r="A51" t="s">
        <v>540</v>
      </c>
      <c r="F51" t="s">
        <v>142</v>
      </c>
    </row>
    <row r="52" spans="1:6" x14ac:dyDescent="0.25">
      <c r="A52" t="s">
        <v>541</v>
      </c>
      <c r="F52" t="s">
        <v>144</v>
      </c>
    </row>
    <row r="53" spans="1:6" x14ac:dyDescent="0.25">
      <c r="A53" t="s">
        <v>542</v>
      </c>
      <c r="F53" t="s">
        <v>146</v>
      </c>
    </row>
    <row r="54" spans="1:6" x14ac:dyDescent="0.25">
      <c r="A54" t="s">
        <v>543</v>
      </c>
      <c r="F54" t="s">
        <v>148</v>
      </c>
    </row>
    <row r="55" spans="1:6" x14ac:dyDescent="0.25">
      <c r="A55" t="s">
        <v>544</v>
      </c>
      <c r="F55" t="s">
        <v>150</v>
      </c>
    </row>
    <row r="56" spans="1:6" x14ac:dyDescent="0.25">
      <c r="A56" t="s">
        <v>545</v>
      </c>
      <c r="F56" t="s">
        <v>152</v>
      </c>
    </row>
    <row r="57" spans="1:6" x14ac:dyDescent="0.25">
      <c r="A57" t="s">
        <v>546</v>
      </c>
      <c r="F57" t="s">
        <v>154</v>
      </c>
    </row>
    <row r="58" spans="1:6" x14ac:dyDescent="0.25">
      <c r="A58" t="s">
        <v>547</v>
      </c>
      <c r="F58" t="s">
        <v>156</v>
      </c>
    </row>
    <row r="59" spans="1:6" x14ac:dyDescent="0.25">
      <c r="A59" t="s">
        <v>548</v>
      </c>
      <c r="F59" t="s">
        <v>549</v>
      </c>
    </row>
    <row r="60" spans="1:6" x14ac:dyDescent="0.25">
      <c r="A60" t="s">
        <v>550</v>
      </c>
      <c r="F60" t="s">
        <v>163</v>
      </c>
    </row>
    <row r="61" spans="1:6" x14ac:dyDescent="0.25">
      <c r="A61" t="s">
        <v>551</v>
      </c>
      <c r="F61" t="s">
        <v>165</v>
      </c>
    </row>
    <row r="62" spans="1:6" x14ac:dyDescent="0.25">
      <c r="A62" t="s">
        <v>552</v>
      </c>
      <c r="F62" t="s">
        <v>167</v>
      </c>
    </row>
    <row r="63" spans="1:6" x14ac:dyDescent="0.25">
      <c r="A63" t="s">
        <v>553</v>
      </c>
      <c r="F63" t="s">
        <v>169</v>
      </c>
    </row>
    <row r="64" spans="1:6" x14ac:dyDescent="0.25">
      <c r="A64" t="s">
        <v>554</v>
      </c>
      <c r="F64" t="s">
        <v>171</v>
      </c>
    </row>
    <row r="65" spans="1:6" x14ac:dyDescent="0.25">
      <c r="A65" t="s">
        <v>555</v>
      </c>
      <c r="F65" t="s">
        <v>173</v>
      </c>
    </row>
    <row r="66" spans="1:6" x14ac:dyDescent="0.25">
      <c r="A66" t="s">
        <v>556</v>
      </c>
      <c r="F66" t="s">
        <v>175</v>
      </c>
    </row>
    <row r="67" spans="1:6" x14ac:dyDescent="0.25">
      <c r="A67" t="s">
        <v>557</v>
      </c>
      <c r="F67" t="s">
        <v>177</v>
      </c>
    </row>
    <row r="68" spans="1:6" x14ac:dyDescent="0.25">
      <c r="A68" t="s">
        <v>558</v>
      </c>
      <c r="F68" t="s">
        <v>179</v>
      </c>
    </row>
    <row r="69" spans="1:6" x14ac:dyDescent="0.25">
      <c r="A69" t="s">
        <v>559</v>
      </c>
      <c r="F69" t="s">
        <v>181</v>
      </c>
    </row>
    <row r="70" spans="1:6" x14ac:dyDescent="0.25">
      <c r="A70" t="s">
        <v>769</v>
      </c>
      <c r="F70" t="s">
        <v>399</v>
      </c>
    </row>
    <row r="71" spans="1:6" x14ac:dyDescent="0.25">
      <c r="A71" t="s">
        <v>560</v>
      </c>
      <c r="F71" t="s">
        <v>183</v>
      </c>
    </row>
    <row r="72" spans="1:6" x14ac:dyDescent="0.25">
      <c r="A72" t="s">
        <v>561</v>
      </c>
      <c r="F72" t="s">
        <v>185</v>
      </c>
    </row>
    <row r="73" spans="1:6" x14ac:dyDescent="0.25">
      <c r="A73" t="s">
        <v>562</v>
      </c>
      <c r="F73" t="s">
        <v>187</v>
      </c>
    </row>
    <row r="74" spans="1:6" x14ac:dyDescent="0.25">
      <c r="A74" t="s">
        <v>563</v>
      </c>
      <c r="F74" t="s">
        <v>189</v>
      </c>
    </row>
    <row r="75" spans="1:6" x14ac:dyDescent="0.25">
      <c r="A75" t="s">
        <v>564</v>
      </c>
      <c r="F75" t="s">
        <v>191</v>
      </c>
    </row>
    <row r="76" spans="1:6" x14ac:dyDescent="0.25">
      <c r="A76" t="s">
        <v>565</v>
      </c>
      <c r="F76" t="s">
        <v>566</v>
      </c>
    </row>
    <row r="77" spans="1:6" x14ac:dyDescent="0.25">
      <c r="A77" t="s">
        <v>567</v>
      </c>
      <c r="F77" t="s">
        <v>194</v>
      </c>
    </row>
    <row r="78" spans="1:6" x14ac:dyDescent="0.25">
      <c r="A78" t="s">
        <v>568</v>
      </c>
      <c r="F78" t="s">
        <v>196</v>
      </c>
    </row>
    <row r="79" spans="1:6" x14ac:dyDescent="0.25">
      <c r="A79" t="s">
        <v>569</v>
      </c>
      <c r="F79" t="s">
        <v>198</v>
      </c>
    </row>
    <row r="80" spans="1:6" x14ac:dyDescent="0.25">
      <c r="A80" t="s">
        <v>570</v>
      </c>
      <c r="F80" t="s">
        <v>200</v>
      </c>
    </row>
    <row r="81" spans="1:6" x14ac:dyDescent="0.25">
      <c r="A81" t="s">
        <v>571</v>
      </c>
      <c r="F81" t="s">
        <v>202</v>
      </c>
    </row>
    <row r="82" spans="1:6" x14ac:dyDescent="0.25">
      <c r="A82">
        <v>3</v>
      </c>
      <c r="F82" t="s">
        <v>796</v>
      </c>
    </row>
    <row r="83" spans="1:6" x14ac:dyDescent="0.25">
      <c r="A83" t="s">
        <v>572</v>
      </c>
      <c r="F83" t="s">
        <v>573</v>
      </c>
    </row>
    <row r="84" spans="1:6" x14ac:dyDescent="0.25">
      <c r="A84" t="s">
        <v>989</v>
      </c>
      <c r="F84" t="s">
        <v>990</v>
      </c>
    </row>
    <row r="85" spans="1:6" x14ac:dyDescent="0.25">
      <c r="A85" t="s">
        <v>574</v>
      </c>
      <c r="F85" t="s">
        <v>212</v>
      </c>
    </row>
    <row r="86" spans="1:6" x14ac:dyDescent="0.25">
      <c r="A86" t="s">
        <v>575</v>
      </c>
      <c r="F86" t="s">
        <v>32</v>
      </c>
    </row>
    <row r="87" spans="1:6" x14ac:dyDescent="0.25">
      <c r="A87" t="s">
        <v>576</v>
      </c>
      <c r="F87" t="s">
        <v>214</v>
      </c>
    </row>
    <row r="88" spans="1:6" x14ac:dyDescent="0.25">
      <c r="A88" t="s">
        <v>577</v>
      </c>
      <c r="F88" t="s">
        <v>578</v>
      </c>
    </row>
    <row r="89" spans="1:6" x14ac:dyDescent="0.25">
      <c r="A89" t="s">
        <v>991</v>
      </c>
      <c r="F89" t="s">
        <v>992</v>
      </c>
    </row>
    <row r="90" spans="1:6" x14ac:dyDescent="0.25">
      <c r="A90" t="s">
        <v>993</v>
      </c>
      <c r="F90" t="s">
        <v>994</v>
      </c>
    </row>
    <row r="91" spans="1:6" x14ac:dyDescent="0.25">
      <c r="A91">
        <v>4</v>
      </c>
      <c r="F91" t="s">
        <v>802</v>
      </c>
    </row>
    <row r="92" spans="1:6" x14ac:dyDescent="0.25">
      <c r="A92" t="s">
        <v>579</v>
      </c>
      <c r="F92" t="s">
        <v>216</v>
      </c>
    </row>
    <row r="93" spans="1:6" x14ac:dyDescent="0.25">
      <c r="A93">
        <v>5</v>
      </c>
      <c r="F93" t="s">
        <v>807</v>
      </c>
    </row>
    <row r="94" spans="1:6" x14ac:dyDescent="0.25">
      <c r="A94" t="s">
        <v>580</v>
      </c>
      <c r="F94" t="s">
        <v>581</v>
      </c>
    </row>
    <row r="95" spans="1:6" x14ac:dyDescent="0.25">
      <c r="A95" t="s">
        <v>582</v>
      </c>
      <c r="F95" t="s">
        <v>220</v>
      </c>
    </row>
    <row r="96" spans="1:6" x14ac:dyDescent="0.25">
      <c r="A96" t="s">
        <v>583</v>
      </c>
      <c r="F96" t="s">
        <v>584</v>
      </c>
    </row>
    <row r="97" spans="1:6" x14ac:dyDescent="0.25">
      <c r="A97">
        <v>6</v>
      </c>
      <c r="F97" t="s">
        <v>995</v>
      </c>
    </row>
    <row r="98" spans="1:6" x14ac:dyDescent="0.25">
      <c r="A98" t="s">
        <v>585</v>
      </c>
      <c r="F98" t="s">
        <v>586</v>
      </c>
    </row>
    <row r="99" spans="1:6" x14ac:dyDescent="0.25">
      <c r="A99" t="s">
        <v>587</v>
      </c>
      <c r="F99" t="s">
        <v>227</v>
      </c>
    </row>
    <row r="100" spans="1:6" x14ac:dyDescent="0.25">
      <c r="A100" t="s">
        <v>588</v>
      </c>
      <c r="F100" t="s">
        <v>229</v>
      </c>
    </row>
    <row r="101" spans="1:6" x14ac:dyDescent="0.25">
      <c r="A101" t="s">
        <v>589</v>
      </c>
      <c r="F101" t="s">
        <v>590</v>
      </c>
    </row>
    <row r="102" spans="1:6" x14ac:dyDescent="0.25">
      <c r="A102" t="s">
        <v>591</v>
      </c>
      <c r="F102" t="s">
        <v>233</v>
      </c>
    </row>
    <row r="103" spans="1:6" x14ac:dyDescent="0.25">
      <c r="A103" t="s">
        <v>592</v>
      </c>
      <c r="F103" t="s">
        <v>235</v>
      </c>
    </row>
    <row r="104" spans="1:6" x14ac:dyDescent="0.25">
      <c r="A104" t="s">
        <v>593</v>
      </c>
      <c r="F104" t="s">
        <v>237</v>
      </c>
    </row>
    <row r="105" spans="1:6" x14ac:dyDescent="0.25">
      <c r="A105" t="s">
        <v>594</v>
      </c>
      <c r="F105" t="s">
        <v>595</v>
      </c>
    </row>
    <row r="106" spans="1:6" x14ac:dyDescent="0.25">
      <c r="A106" t="s">
        <v>596</v>
      </c>
      <c r="F106" t="s">
        <v>597</v>
      </c>
    </row>
    <row r="107" spans="1:6" x14ac:dyDescent="0.25">
      <c r="A107" t="s">
        <v>598</v>
      </c>
      <c r="F107" t="s">
        <v>599</v>
      </c>
    </row>
    <row r="108" spans="1:6" x14ac:dyDescent="0.25">
      <c r="A108" t="s">
        <v>770</v>
      </c>
      <c r="F108" t="s">
        <v>771</v>
      </c>
    </row>
    <row r="109" spans="1:6" x14ac:dyDescent="0.25">
      <c r="A109" t="s">
        <v>600</v>
      </c>
      <c r="F109" t="s">
        <v>246</v>
      </c>
    </row>
    <row r="110" spans="1:6" x14ac:dyDescent="0.25">
      <c r="A110" t="s">
        <v>601</v>
      </c>
      <c r="F110" t="s">
        <v>244</v>
      </c>
    </row>
    <row r="111" spans="1:6" x14ac:dyDescent="0.25">
      <c r="A111" t="s">
        <v>602</v>
      </c>
      <c r="F111" t="s">
        <v>248</v>
      </c>
    </row>
    <row r="112" spans="1:6" x14ac:dyDescent="0.25">
      <c r="A112">
        <v>7</v>
      </c>
      <c r="F112" t="s">
        <v>996</v>
      </c>
    </row>
    <row r="113" spans="1:6" x14ac:dyDescent="0.25">
      <c r="A113" t="s">
        <v>603</v>
      </c>
      <c r="F113" t="s">
        <v>39</v>
      </c>
    </row>
    <row r="114" spans="1:6" x14ac:dyDescent="0.25">
      <c r="A114" t="s">
        <v>604</v>
      </c>
      <c r="F114" t="s">
        <v>605</v>
      </c>
    </row>
    <row r="115" spans="1:6" x14ac:dyDescent="0.25">
      <c r="A115" t="s">
        <v>606</v>
      </c>
      <c r="F115" t="s">
        <v>253</v>
      </c>
    </row>
    <row r="116" spans="1:6" x14ac:dyDescent="0.25">
      <c r="A116" t="s">
        <v>607</v>
      </c>
      <c r="F116" t="s">
        <v>255</v>
      </c>
    </row>
    <row r="117" spans="1:6" x14ac:dyDescent="0.25">
      <c r="A117" t="s">
        <v>608</v>
      </c>
      <c r="F117" t="s">
        <v>47</v>
      </c>
    </row>
    <row r="118" spans="1:6" x14ac:dyDescent="0.25">
      <c r="A118" t="s">
        <v>609</v>
      </c>
      <c r="F118" t="s">
        <v>43</v>
      </c>
    </row>
    <row r="119" spans="1:6" x14ac:dyDescent="0.25">
      <c r="A119" t="s">
        <v>610</v>
      </c>
      <c r="F119" t="s">
        <v>258</v>
      </c>
    </row>
    <row r="120" spans="1:6" x14ac:dyDescent="0.25">
      <c r="A120" t="s">
        <v>611</v>
      </c>
      <c r="F120" t="s">
        <v>49</v>
      </c>
    </row>
    <row r="121" spans="1:6" x14ac:dyDescent="0.25">
      <c r="A121" t="s">
        <v>612</v>
      </c>
      <c r="F121" t="s">
        <v>51</v>
      </c>
    </row>
    <row r="122" spans="1:6" x14ac:dyDescent="0.25">
      <c r="A122" t="s">
        <v>613</v>
      </c>
      <c r="F122" t="s">
        <v>53</v>
      </c>
    </row>
    <row r="123" spans="1:6" x14ac:dyDescent="0.25">
      <c r="A123" t="s">
        <v>614</v>
      </c>
      <c r="F123" t="s">
        <v>55</v>
      </c>
    </row>
    <row r="124" spans="1:6" x14ac:dyDescent="0.25">
      <c r="A124" t="s">
        <v>997</v>
      </c>
      <c r="F124" t="s">
        <v>264</v>
      </c>
    </row>
    <row r="125" spans="1:6" x14ac:dyDescent="0.25">
      <c r="A125" t="s">
        <v>616</v>
      </c>
      <c r="F125" t="s">
        <v>617</v>
      </c>
    </row>
    <row r="126" spans="1:6" x14ac:dyDescent="0.25">
      <c r="A126" t="s">
        <v>619</v>
      </c>
      <c r="F126" t="s">
        <v>620</v>
      </c>
    </row>
    <row r="127" spans="1:6" x14ac:dyDescent="0.25">
      <c r="A127" t="s">
        <v>621</v>
      </c>
      <c r="F127" t="s">
        <v>268</v>
      </c>
    </row>
    <row r="128" spans="1:6" x14ac:dyDescent="0.25">
      <c r="A128" t="s">
        <v>622</v>
      </c>
      <c r="F128" t="s">
        <v>270</v>
      </c>
    </row>
    <row r="129" spans="1:6" x14ac:dyDescent="0.25">
      <c r="A129" t="s">
        <v>623</v>
      </c>
      <c r="F129" t="s">
        <v>272</v>
      </c>
    </row>
    <row r="130" spans="1:6" x14ac:dyDescent="0.25">
      <c r="A130">
        <v>8</v>
      </c>
      <c r="F130" t="s">
        <v>998</v>
      </c>
    </row>
    <row r="131" spans="1:6" x14ac:dyDescent="0.25">
      <c r="A131" t="s">
        <v>624</v>
      </c>
      <c r="F131" t="s">
        <v>625</v>
      </c>
    </row>
    <row r="132" spans="1:6" x14ac:dyDescent="0.25">
      <c r="A132" t="s">
        <v>626</v>
      </c>
      <c r="F132" t="s">
        <v>275</v>
      </c>
    </row>
    <row r="133" spans="1:6" x14ac:dyDescent="0.25">
      <c r="A133" t="s">
        <v>627</v>
      </c>
      <c r="F133" t="s">
        <v>277</v>
      </c>
    </row>
    <row r="134" spans="1:6" x14ac:dyDescent="0.25">
      <c r="A134" t="s">
        <v>628</v>
      </c>
      <c r="F134" t="s">
        <v>279</v>
      </c>
    </row>
    <row r="135" spans="1:6" x14ac:dyDescent="0.25">
      <c r="A135" t="s">
        <v>629</v>
      </c>
      <c r="F135" t="s">
        <v>280</v>
      </c>
    </row>
    <row r="136" spans="1:6" x14ac:dyDescent="0.25">
      <c r="A136" t="s">
        <v>630</v>
      </c>
      <c r="F136" t="s">
        <v>631</v>
      </c>
    </row>
    <row r="137" spans="1:6" x14ac:dyDescent="0.25">
      <c r="A137" t="s">
        <v>632</v>
      </c>
      <c r="F137" t="s">
        <v>285</v>
      </c>
    </row>
    <row r="138" spans="1:6" x14ac:dyDescent="0.25">
      <c r="A138" t="s">
        <v>633</v>
      </c>
      <c r="F138" t="s">
        <v>57</v>
      </c>
    </row>
    <row r="139" spans="1:6" x14ac:dyDescent="0.25">
      <c r="A139" t="s">
        <v>634</v>
      </c>
      <c r="F139" t="s">
        <v>286</v>
      </c>
    </row>
    <row r="140" spans="1:6" x14ac:dyDescent="0.25">
      <c r="A140" t="s">
        <v>772</v>
      </c>
      <c r="F140" t="s">
        <v>773</v>
      </c>
    </row>
    <row r="141" spans="1:6" x14ac:dyDescent="0.25">
      <c r="A141" t="s">
        <v>635</v>
      </c>
      <c r="F141" t="s">
        <v>288</v>
      </c>
    </row>
    <row r="142" spans="1:6" x14ac:dyDescent="0.25">
      <c r="A142" t="s">
        <v>636</v>
      </c>
      <c r="F142" t="s">
        <v>290</v>
      </c>
    </row>
    <row r="143" spans="1:6" x14ac:dyDescent="0.25">
      <c r="A143" t="s">
        <v>638</v>
      </c>
      <c r="F143" t="s">
        <v>292</v>
      </c>
    </row>
    <row r="144" spans="1:6" x14ac:dyDescent="0.25">
      <c r="A144">
        <v>9</v>
      </c>
      <c r="F144" t="s">
        <v>845</v>
      </c>
    </row>
    <row r="145" spans="1:6" x14ac:dyDescent="0.25">
      <c r="A145" t="s">
        <v>639</v>
      </c>
      <c r="F145" t="s">
        <v>294</v>
      </c>
    </row>
    <row r="146" spans="1:6" x14ac:dyDescent="0.25">
      <c r="A146" t="s">
        <v>640</v>
      </c>
      <c r="F146" t="s">
        <v>296</v>
      </c>
    </row>
    <row r="147" spans="1:6" x14ac:dyDescent="0.25">
      <c r="A147" t="s">
        <v>641</v>
      </c>
      <c r="F147" t="s">
        <v>298</v>
      </c>
    </row>
    <row r="148" spans="1:6" x14ac:dyDescent="0.25">
      <c r="A148" t="s">
        <v>642</v>
      </c>
      <c r="F148" t="s">
        <v>643</v>
      </c>
    </row>
    <row r="149" spans="1:6" x14ac:dyDescent="0.25">
      <c r="A149" t="s">
        <v>644</v>
      </c>
      <c r="F149" t="s">
        <v>302</v>
      </c>
    </row>
    <row r="150" spans="1:6" x14ac:dyDescent="0.25">
      <c r="A150" t="s">
        <v>645</v>
      </c>
      <c r="F150" t="s">
        <v>304</v>
      </c>
    </row>
    <row r="151" spans="1:6" x14ac:dyDescent="0.25">
      <c r="A151" t="s">
        <v>646</v>
      </c>
      <c r="F151" t="s">
        <v>306</v>
      </c>
    </row>
    <row r="152" spans="1:6" x14ac:dyDescent="0.25">
      <c r="A152" t="s">
        <v>647</v>
      </c>
      <c r="F152" t="s">
        <v>308</v>
      </c>
    </row>
    <row r="153" spans="1:6" x14ac:dyDescent="0.25">
      <c r="A153" t="s">
        <v>648</v>
      </c>
      <c r="F153" t="s">
        <v>311</v>
      </c>
    </row>
    <row r="154" spans="1:6" x14ac:dyDescent="0.25">
      <c r="A154" t="s">
        <v>649</v>
      </c>
      <c r="F154" t="s">
        <v>650</v>
      </c>
    </row>
    <row r="155" spans="1:6" x14ac:dyDescent="0.25">
      <c r="A155" t="s">
        <v>651</v>
      </c>
      <c r="F155" t="s">
        <v>315</v>
      </c>
    </row>
    <row r="156" spans="1:6" x14ac:dyDescent="0.25">
      <c r="A156" t="s">
        <v>652</v>
      </c>
      <c r="F156" t="s">
        <v>317</v>
      </c>
    </row>
    <row r="157" spans="1:6" x14ac:dyDescent="0.25">
      <c r="A157">
        <v>10</v>
      </c>
      <c r="F157" t="s">
        <v>859</v>
      </c>
    </row>
    <row r="158" spans="1:6" x14ac:dyDescent="0.25">
      <c r="A158" t="s">
        <v>653</v>
      </c>
      <c r="F158" t="s">
        <v>318</v>
      </c>
    </row>
    <row r="159" spans="1:6" x14ac:dyDescent="0.25">
      <c r="A159" t="s">
        <v>654</v>
      </c>
      <c r="F159" t="s">
        <v>320</v>
      </c>
    </row>
    <row r="160" spans="1:6" x14ac:dyDescent="0.25">
      <c r="A160" t="s">
        <v>655</v>
      </c>
      <c r="F160" t="s">
        <v>323</v>
      </c>
    </row>
    <row r="161" spans="1:6" x14ac:dyDescent="0.25">
      <c r="A161" t="s">
        <v>656</v>
      </c>
      <c r="F161" t="s">
        <v>325</v>
      </c>
    </row>
    <row r="162" spans="1:6" x14ac:dyDescent="0.25">
      <c r="A162" t="s">
        <v>658</v>
      </c>
      <c r="F162" t="s">
        <v>327</v>
      </c>
    </row>
    <row r="163" spans="1:6" x14ac:dyDescent="0.25">
      <c r="A163" t="s">
        <v>659</v>
      </c>
      <c r="F163" t="s">
        <v>329</v>
      </c>
    </row>
    <row r="164" spans="1:6" x14ac:dyDescent="0.25">
      <c r="A164" t="s">
        <v>660</v>
      </c>
      <c r="F164" t="s">
        <v>331</v>
      </c>
    </row>
    <row r="165" spans="1:6" x14ac:dyDescent="0.25">
      <c r="A165" t="s">
        <v>661</v>
      </c>
      <c r="F165" t="s">
        <v>333</v>
      </c>
    </row>
    <row r="166" spans="1:6" x14ac:dyDescent="0.25">
      <c r="A166" t="s">
        <v>662</v>
      </c>
      <c r="F166" t="s">
        <v>335</v>
      </c>
    </row>
    <row r="167" spans="1:6" x14ac:dyDescent="0.25">
      <c r="A167" t="s">
        <v>663</v>
      </c>
      <c r="F167" t="s">
        <v>337</v>
      </c>
    </row>
    <row r="168" spans="1:6" x14ac:dyDescent="0.25">
      <c r="A168" t="s">
        <v>664</v>
      </c>
      <c r="F168" t="s">
        <v>340</v>
      </c>
    </row>
    <row r="169" spans="1:6" x14ac:dyDescent="0.25">
      <c r="A169" t="s">
        <v>665</v>
      </c>
      <c r="F169" t="s">
        <v>342</v>
      </c>
    </row>
    <row r="170" spans="1:6" x14ac:dyDescent="0.25">
      <c r="A170" t="s">
        <v>666</v>
      </c>
      <c r="F170" t="s">
        <v>344</v>
      </c>
    </row>
    <row r="171" spans="1:6" x14ac:dyDescent="0.25">
      <c r="A171" t="s">
        <v>667</v>
      </c>
      <c r="F171" t="s">
        <v>346</v>
      </c>
    </row>
    <row r="172" spans="1:6" x14ac:dyDescent="0.25">
      <c r="A172" t="s">
        <v>668</v>
      </c>
      <c r="F172" t="s">
        <v>349</v>
      </c>
    </row>
    <row r="173" spans="1:6" x14ac:dyDescent="0.25">
      <c r="A173" t="s">
        <v>669</v>
      </c>
      <c r="F173" t="s">
        <v>351</v>
      </c>
    </row>
    <row r="174" spans="1:6" x14ac:dyDescent="0.25">
      <c r="A174" t="s">
        <v>670</v>
      </c>
      <c r="F174" t="s">
        <v>353</v>
      </c>
    </row>
    <row r="175" spans="1:6" x14ac:dyDescent="0.25">
      <c r="A175" t="s">
        <v>671</v>
      </c>
      <c r="F175" t="s">
        <v>355</v>
      </c>
    </row>
    <row r="176" spans="1:6" x14ac:dyDescent="0.25">
      <c r="A176">
        <v>11</v>
      </c>
      <c r="F176" t="s">
        <v>869</v>
      </c>
    </row>
    <row r="177" spans="1:6" x14ac:dyDescent="0.25">
      <c r="A177" t="s">
        <v>774</v>
      </c>
      <c r="F177" t="s">
        <v>657</v>
      </c>
    </row>
    <row r="178" spans="1:6" x14ac:dyDescent="0.25">
      <c r="A178" t="s">
        <v>672</v>
      </c>
      <c r="F178" t="s">
        <v>673</v>
      </c>
    </row>
    <row r="179" spans="1:6" x14ac:dyDescent="0.25">
      <c r="A179" t="s">
        <v>674</v>
      </c>
      <c r="F179" t="s">
        <v>359</v>
      </c>
    </row>
    <row r="180" spans="1:6" x14ac:dyDescent="0.25">
      <c r="A180" t="s">
        <v>675</v>
      </c>
      <c r="F180" t="s">
        <v>361</v>
      </c>
    </row>
    <row r="181" spans="1:6" x14ac:dyDescent="0.25">
      <c r="A181" t="s">
        <v>676</v>
      </c>
      <c r="F181" t="s">
        <v>363</v>
      </c>
    </row>
    <row r="182" spans="1:6" x14ac:dyDescent="0.25">
      <c r="A182" t="s">
        <v>677</v>
      </c>
      <c r="F182" t="s">
        <v>365</v>
      </c>
    </row>
    <row r="183" spans="1:6" x14ac:dyDescent="0.25">
      <c r="A183" t="s">
        <v>678</v>
      </c>
      <c r="F183" t="s">
        <v>367</v>
      </c>
    </row>
    <row r="184" spans="1:6" x14ac:dyDescent="0.25">
      <c r="A184" t="s">
        <v>679</v>
      </c>
      <c r="F184" t="s">
        <v>369</v>
      </c>
    </row>
    <row r="185" spans="1:6" x14ac:dyDescent="0.25">
      <c r="A185">
        <v>12</v>
      </c>
      <c r="F185" t="s">
        <v>999</v>
      </c>
    </row>
    <row r="186" spans="1:6" x14ac:dyDescent="0.25">
      <c r="A186" t="s">
        <v>680</v>
      </c>
      <c r="F186" t="s">
        <v>371</v>
      </c>
    </row>
    <row r="187" spans="1:6" x14ac:dyDescent="0.25">
      <c r="A187" t="s">
        <v>681</v>
      </c>
      <c r="F187" t="s">
        <v>682</v>
      </c>
    </row>
    <row r="188" spans="1:6" x14ac:dyDescent="0.25">
      <c r="A188" t="s">
        <v>683</v>
      </c>
      <c r="F188" t="s">
        <v>375</v>
      </c>
    </row>
    <row r="189" spans="1:6" x14ac:dyDescent="0.25">
      <c r="A189" t="s">
        <v>684</v>
      </c>
      <c r="F189" t="s">
        <v>377</v>
      </c>
    </row>
    <row r="190" spans="1:6" x14ac:dyDescent="0.25">
      <c r="A190" t="s">
        <v>685</v>
      </c>
      <c r="F190" t="s">
        <v>379</v>
      </c>
    </row>
    <row r="191" spans="1:6" x14ac:dyDescent="0.25">
      <c r="A191" t="s">
        <v>686</v>
      </c>
      <c r="F191" t="s">
        <v>381</v>
      </c>
    </row>
    <row r="192" spans="1:6" x14ac:dyDescent="0.25">
      <c r="A192" t="s">
        <v>687</v>
      </c>
      <c r="F192" t="s">
        <v>383</v>
      </c>
    </row>
    <row r="193" spans="1:6" x14ac:dyDescent="0.25">
      <c r="A193">
        <v>13</v>
      </c>
      <c r="F193" t="s">
        <v>1000</v>
      </c>
    </row>
    <row r="194" spans="1:6" x14ac:dyDescent="0.25">
      <c r="A194" t="s">
        <v>688</v>
      </c>
      <c r="F194" t="s">
        <v>689</v>
      </c>
    </row>
    <row r="195" spans="1:6" x14ac:dyDescent="0.25">
      <c r="A195" t="s">
        <v>690</v>
      </c>
      <c r="F195" t="s">
        <v>388</v>
      </c>
    </row>
    <row r="196" spans="1:6" x14ac:dyDescent="0.25">
      <c r="A196" t="s">
        <v>691</v>
      </c>
      <c r="F196" t="s">
        <v>390</v>
      </c>
    </row>
    <row r="197" spans="1:6" x14ac:dyDescent="0.25">
      <c r="A197" t="s">
        <v>692</v>
      </c>
      <c r="F197" t="s">
        <v>391</v>
      </c>
    </row>
    <row r="198" spans="1:6" x14ac:dyDescent="0.25">
      <c r="A198">
        <v>14</v>
      </c>
      <c r="F198" t="s">
        <v>1001</v>
      </c>
    </row>
    <row r="199" spans="1:6" x14ac:dyDescent="0.25">
      <c r="A199" t="s">
        <v>693</v>
      </c>
      <c r="F199" t="s">
        <v>393</v>
      </c>
    </row>
    <row r="200" spans="1:6" x14ac:dyDescent="0.25">
      <c r="A200" t="s">
        <v>694</v>
      </c>
      <c r="F200" t="s">
        <v>395</v>
      </c>
    </row>
    <row r="201" spans="1:6" x14ac:dyDescent="0.25">
      <c r="A201" t="s">
        <v>695</v>
      </c>
      <c r="F201" t="s">
        <v>397</v>
      </c>
    </row>
    <row r="202" spans="1:6" x14ac:dyDescent="0.25">
      <c r="A202" t="s">
        <v>696</v>
      </c>
      <c r="F202" t="s">
        <v>697</v>
      </c>
    </row>
    <row r="203" spans="1:6" x14ac:dyDescent="0.25">
      <c r="A203">
        <v>21</v>
      </c>
      <c r="F203" t="s">
        <v>887</v>
      </c>
    </row>
    <row r="204" spans="1:6" x14ac:dyDescent="0.25">
      <c r="A204" t="s">
        <v>698</v>
      </c>
      <c r="F204" t="s">
        <v>699</v>
      </c>
    </row>
    <row r="205" spans="1:6" x14ac:dyDescent="0.25">
      <c r="A205">
        <v>22</v>
      </c>
      <c r="F205" t="s">
        <v>890</v>
      </c>
    </row>
    <row r="206" spans="1:6" x14ac:dyDescent="0.25">
      <c r="A206" t="s">
        <v>700</v>
      </c>
      <c r="F206" t="s">
        <v>404</v>
      </c>
    </row>
    <row r="207" spans="1:6" x14ac:dyDescent="0.25">
      <c r="A207">
        <v>23</v>
      </c>
      <c r="F207" t="s">
        <v>1002</v>
      </c>
    </row>
    <row r="208" spans="1:6" x14ac:dyDescent="0.25">
      <c r="A208" t="s">
        <v>701</v>
      </c>
      <c r="F208" t="s">
        <v>702</v>
      </c>
    </row>
    <row r="209" spans="1:6" x14ac:dyDescent="0.25">
      <c r="A209">
        <v>25</v>
      </c>
      <c r="F209" t="s">
        <v>1003</v>
      </c>
    </row>
    <row r="210" spans="1:6" x14ac:dyDescent="0.25">
      <c r="A210">
        <v>26</v>
      </c>
      <c r="F210" t="s">
        <v>898</v>
      </c>
    </row>
    <row r="211" spans="1:6" x14ac:dyDescent="0.25">
      <c r="A211" t="s">
        <v>703</v>
      </c>
      <c r="F211" t="s">
        <v>408</v>
      </c>
    </row>
    <row r="212" spans="1:6" x14ac:dyDescent="0.25">
      <c r="A212">
        <v>27</v>
      </c>
      <c r="F212" t="s">
        <v>902</v>
      </c>
    </row>
    <row r="213" spans="1:6" x14ac:dyDescent="0.25">
      <c r="A213" t="s">
        <v>704</v>
      </c>
      <c r="F213" t="s">
        <v>410</v>
      </c>
    </row>
    <row r="214" spans="1:6" x14ac:dyDescent="0.25">
      <c r="A214" t="s">
        <v>705</v>
      </c>
      <c r="F214" t="s">
        <v>706</v>
      </c>
    </row>
    <row r="215" spans="1:6" x14ac:dyDescent="0.25">
      <c r="A215">
        <v>28</v>
      </c>
      <c r="F215" t="s">
        <v>1004</v>
      </c>
    </row>
    <row r="216" spans="1:6" x14ac:dyDescent="0.25">
      <c r="A216" t="s">
        <v>707</v>
      </c>
      <c r="F216" t="s">
        <v>414</v>
      </c>
    </row>
    <row r="217" spans="1:6" x14ac:dyDescent="0.25">
      <c r="A217" t="s">
        <v>708</v>
      </c>
      <c r="F217" t="s">
        <v>416</v>
      </c>
    </row>
    <row r="218" spans="1:6" x14ac:dyDescent="0.25">
      <c r="A218" t="s">
        <v>709</v>
      </c>
      <c r="F218" t="s">
        <v>710</v>
      </c>
    </row>
    <row r="219" spans="1:6" x14ac:dyDescent="0.25">
      <c r="A219" t="s">
        <v>711</v>
      </c>
      <c r="F219" t="s">
        <v>420</v>
      </c>
    </row>
    <row r="220" spans="1:6" x14ac:dyDescent="0.25">
      <c r="A220">
        <v>31</v>
      </c>
      <c r="F220" t="s">
        <v>908</v>
      </c>
    </row>
    <row r="221" spans="1:6" x14ac:dyDescent="0.25">
      <c r="A221" t="s">
        <v>712</v>
      </c>
      <c r="F221" t="s">
        <v>422</v>
      </c>
    </row>
    <row r="222" spans="1:6" x14ac:dyDescent="0.25">
      <c r="A222" t="s">
        <v>713</v>
      </c>
      <c r="F222" t="s">
        <v>424</v>
      </c>
    </row>
    <row r="223" spans="1:6" x14ac:dyDescent="0.25">
      <c r="A223" t="s">
        <v>1005</v>
      </c>
      <c r="F223" t="s">
        <v>1006</v>
      </c>
    </row>
    <row r="224" spans="1:6" x14ac:dyDescent="0.25">
      <c r="A224" t="s">
        <v>714</v>
      </c>
      <c r="F224" t="s">
        <v>425</v>
      </c>
    </row>
    <row r="225" spans="1:6" x14ac:dyDescent="0.25">
      <c r="A225" t="s">
        <v>715</v>
      </c>
      <c r="F225" t="s">
        <v>427</v>
      </c>
    </row>
    <row r="226" spans="1:6" x14ac:dyDescent="0.25">
      <c r="A226" t="s">
        <v>1007</v>
      </c>
      <c r="F226" t="s">
        <v>1008</v>
      </c>
    </row>
    <row r="227" spans="1:6" x14ac:dyDescent="0.25">
      <c r="A227" t="s">
        <v>716</v>
      </c>
      <c r="F227" t="s">
        <v>717</v>
      </c>
    </row>
    <row r="228" spans="1:6" x14ac:dyDescent="0.25">
      <c r="A228">
        <v>32</v>
      </c>
      <c r="F228" t="s">
        <v>1009</v>
      </c>
    </row>
    <row r="229" spans="1:6" x14ac:dyDescent="0.25">
      <c r="A229" t="s">
        <v>718</v>
      </c>
      <c r="F229" t="s">
        <v>431</v>
      </c>
    </row>
    <row r="230" spans="1:6" x14ac:dyDescent="0.25">
      <c r="A230" t="s">
        <v>719</v>
      </c>
      <c r="F230" t="s">
        <v>434</v>
      </c>
    </row>
    <row r="231" spans="1:6" x14ac:dyDescent="0.25">
      <c r="A231" t="s">
        <v>720</v>
      </c>
      <c r="F231" t="s">
        <v>436</v>
      </c>
    </row>
    <row r="232" spans="1:6" x14ac:dyDescent="0.25">
      <c r="A232" t="s">
        <v>721</v>
      </c>
      <c r="F232" t="s">
        <v>438</v>
      </c>
    </row>
    <row r="233" spans="1:6" x14ac:dyDescent="0.25">
      <c r="A233" t="s">
        <v>722</v>
      </c>
      <c r="F233" t="s">
        <v>440</v>
      </c>
    </row>
    <row r="234" spans="1:6" x14ac:dyDescent="0.25">
      <c r="A234" t="s">
        <v>1010</v>
      </c>
      <c r="F234" t="s">
        <v>1011</v>
      </c>
    </row>
    <row r="235" spans="1:6" x14ac:dyDescent="0.25">
      <c r="A235" t="s">
        <v>723</v>
      </c>
      <c r="F235" t="s">
        <v>442</v>
      </c>
    </row>
    <row r="236" spans="1:6" x14ac:dyDescent="0.25">
      <c r="A236" t="s">
        <v>725</v>
      </c>
      <c r="F236" t="s">
        <v>450</v>
      </c>
    </row>
    <row r="237" spans="1:6" x14ac:dyDescent="0.25">
      <c r="A237" t="s">
        <v>726</v>
      </c>
      <c r="F237" t="s">
        <v>452</v>
      </c>
    </row>
    <row r="238" spans="1:6" x14ac:dyDescent="0.25">
      <c r="A238" t="s">
        <v>727</v>
      </c>
      <c r="F238" t="s">
        <v>454</v>
      </c>
    </row>
    <row r="239" spans="1:6" x14ac:dyDescent="0.25">
      <c r="A239" t="s">
        <v>728</v>
      </c>
      <c r="F239" t="s">
        <v>729</v>
      </c>
    </row>
    <row r="240" spans="1:6" x14ac:dyDescent="0.25">
      <c r="A240">
        <v>33</v>
      </c>
      <c r="F240" t="s">
        <v>916</v>
      </c>
    </row>
    <row r="241" spans="1:6" x14ac:dyDescent="0.25">
      <c r="A241" t="s">
        <v>730</v>
      </c>
      <c r="F241" t="s">
        <v>458</v>
      </c>
    </row>
    <row r="242" spans="1:6" x14ac:dyDescent="0.25">
      <c r="A242">
        <v>34</v>
      </c>
      <c r="F242" t="s">
        <v>1012</v>
      </c>
    </row>
    <row r="243" spans="1:6" x14ac:dyDescent="0.25">
      <c r="A243">
        <v>35</v>
      </c>
      <c r="F243" t="s">
        <v>1013</v>
      </c>
    </row>
    <row r="244" spans="1:6" x14ac:dyDescent="0.25">
      <c r="A244">
        <v>40</v>
      </c>
      <c r="F244" t="s">
        <v>1014</v>
      </c>
    </row>
    <row r="245" spans="1:6" x14ac:dyDescent="0.25">
      <c r="A245">
        <v>41</v>
      </c>
      <c r="F245" t="s">
        <v>1015</v>
      </c>
    </row>
    <row r="246" spans="1:6" x14ac:dyDescent="0.25">
      <c r="A246">
        <v>42</v>
      </c>
      <c r="F246" t="s">
        <v>1016</v>
      </c>
    </row>
    <row r="247" spans="1:6" x14ac:dyDescent="0.25">
      <c r="A247">
        <v>43</v>
      </c>
      <c r="F247" t="s">
        <v>1017</v>
      </c>
    </row>
    <row r="248" spans="1:6" x14ac:dyDescent="0.25">
      <c r="A248">
        <v>44</v>
      </c>
      <c r="F248" t="s">
        <v>1018</v>
      </c>
    </row>
    <row r="249" spans="1:6" x14ac:dyDescent="0.25">
      <c r="A249">
        <v>45</v>
      </c>
      <c r="F249" t="s">
        <v>1019</v>
      </c>
    </row>
    <row r="250" spans="1:6" x14ac:dyDescent="0.25">
      <c r="A250">
        <v>46</v>
      </c>
      <c r="F250" t="s">
        <v>1020</v>
      </c>
    </row>
    <row r="251" spans="1:6" x14ac:dyDescent="0.25">
      <c r="A251">
        <v>48</v>
      </c>
      <c r="F251" t="s">
        <v>1021</v>
      </c>
    </row>
    <row r="252" spans="1:6" x14ac:dyDescent="0.25">
      <c r="A252">
        <v>50</v>
      </c>
      <c r="F252" t="s">
        <v>920</v>
      </c>
    </row>
    <row r="253" spans="1:6" x14ac:dyDescent="0.25">
      <c r="A253" t="s">
        <v>731</v>
      </c>
      <c r="F253" t="s">
        <v>462</v>
      </c>
    </row>
    <row r="254" spans="1:6" x14ac:dyDescent="0.25">
      <c r="A254">
        <v>60</v>
      </c>
      <c r="F254" t="s">
        <v>1022</v>
      </c>
    </row>
    <row r="255" spans="1:6" x14ac:dyDescent="0.25">
      <c r="A255" t="s">
        <v>732</v>
      </c>
      <c r="F255" t="s">
        <v>13</v>
      </c>
    </row>
    <row r="256" spans="1:6" x14ac:dyDescent="0.25">
      <c r="A256" t="s">
        <v>733</v>
      </c>
      <c r="F256" t="s">
        <v>14</v>
      </c>
    </row>
    <row r="257" spans="1:6" x14ac:dyDescent="0.25">
      <c r="A257" t="s">
        <v>734</v>
      </c>
      <c r="F257" t="s">
        <v>15</v>
      </c>
    </row>
    <row r="258" spans="1:6" x14ac:dyDescent="0.25">
      <c r="A258" t="s">
        <v>735</v>
      </c>
      <c r="F258" t="s">
        <v>16</v>
      </c>
    </row>
    <row r="259" spans="1:6" x14ac:dyDescent="0.25">
      <c r="A259" t="s">
        <v>736</v>
      </c>
      <c r="F259" t="s">
        <v>17</v>
      </c>
    </row>
    <row r="260" spans="1:6" x14ac:dyDescent="0.25">
      <c r="A260" t="s">
        <v>737</v>
      </c>
      <c r="F260" t="s">
        <v>18</v>
      </c>
    </row>
    <row r="261" spans="1:6" x14ac:dyDescent="0.25">
      <c r="A261" t="s">
        <v>738</v>
      </c>
      <c r="F261" t="s">
        <v>19</v>
      </c>
    </row>
    <row r="262" spans="1:6" x14ac:dyDescent="0.25">
      <c r="A262" t="s">
        <v>775</v>
      </c>
      <c r="F262" t="s">
        <v>776</v>
      </c>
    </row>
    <row r="263" spans="1:6" x14ac:dyDescent="0.25">
      <c r="A263">
        <v>80</v>
      </c>
      <c r="F263" t="s">
        <v>1023</v>
      </c>
    </row>
    <row r="264" spans="1:6" x14ac:dyDescent="0.25">
      <c r="A264" t="s">
        <v>739</v>
      </c>
      <c r="F264" t="s">
        <v>740</v>
      </c>
    </row>
    <row r="265" spans="1:6" x14ac:dyDescent="0.25">
      <c r="A265" t="s">
        <v>1024</v>
      </c>
      <c r="F265" t="s">
        <v>1025</v>
      </c>
    </row>
    <row r="266" spans="1:6" x14ac:dyDescent="0.25">
      <c r="A266" t="s">
        <v>1026</v>
      </c>
      <c r="F266" t="s">
        <v>1027</v>
      </c>
    </row>
    <row r="267" spans="1:6" x14ac:dyDescent="0.25">
      <c r="A267" t="s">
        <v>1028</v>
      </c>
      <c r="F267" t="s">
        <v>1029</v>
      </c>
    </row>
    <row r="268" spans="1:6" x14ac:dyDescent="0.25">
      <c r="A268" t="s">
        <v>1030</v>
      </c>
      <c r="F268" t="s">
        <v>1031</v>
      </c>
    </row>
    <row r="269" spans="1:6" x14ac:dyDescent="0.25">
      <c r="A269" t="s">
        <v>1032</v>
      </c>
      <c r="F269" t="s">
        <v>1033</v>
      </c>
    </row>
    <row r="270" spans="1:6" x14ac:dyDescent="0.25">
      <c r="A270" t="s">
        <v>1034</v>
      </c>
      <c r="F270" t="s">
        <v>1035</v>
      </c>
    </row>
    <row r="271" spans="1:6" x14ac:dyDescent="0.25">
      <c r="A271" t="s">
        <v>1036</v>
      </c>
      <c r="F271" t="s">
        <v>1037</v>
      </c>
    </row>
    <row r="272" spans="1:6" x14ac:dyDescent="0.25">
      <c r="A272" t="s">
        <v>1038</v>
      </c>
      <c r="F272" t="s">
        <v>1039</v>
      </c>
    </row>
    <row r="273" spans="1:6" x14ac:dyDescent="0.25">
      <c r="A273" t="s">
        <v>1040</v>
      </c>
      <c r="F273" t="s">
        <v>1041</v>
      </c>
    </row>
  </sheetData>
  <dataValidations count="1">
    <dataValidation allowBlank="1" showErrorMessage="1" sqref="A1:F1" xr:uid="{CCEC7BB1-285C-4FEB-A83B-FEF96A5D2037}"/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4335-3634-4A32-8019-A2DAB1CA63AA}">
  <sheetPr codeName="Sheet4"/>
  <dimension ref="D3:F11"/>
  <sheetViews>
    <sheetView workbookViewId="0">
      <selection activeCell="F4" sqref="F4"/>
    </sheetView>
  </sheetViews>
  <sheetFormatPr defaultRowHeight="12.5" x14ac:dyDescent="0.25"/>
  <cols>
    <col min="4" max="4" width="32.453125" bestFit="1" customWidth="1"/>
    <col min="6" max="6" width="24.54296875" customWidth="1"/>
  </cols>
  <sheetData>
    <row r="3" spans="4:6" ht="14.5" x14ac:dyDescent="0.25">
      <c r="D3" s="7" t="s">
        <v>1042</v>
      </c>
      <c r="F3" s="115" t="s">
        <v>1043</v>
      </c>
    </row>
    <row r="4" spans="4:6" ht="14.5" x14ac:dyDescent="0.25">
      <c r="D4" s="8" t="s">
        <v>1044</v>
      </c>
      <c r="F4" s="107" t="s">
        <v>1045</v>
      </c>
    </row>
    <row r="5" spans="4:6" ht="14.5" x14ac:dyDescent="0.25">
      <c r="D5" s="9" t="s">
        <v>1046</v>
      </c>
      <c r="F5" s="108" t="s">
        <v>1047</v>
      </c>
    </row>
    <row r="6" spans="4:6" ht="14.5" x14ac:dyDescent="0.25">
      <c r="D6" s="10" t="s">
        <v>1048</v>
      </c>
      <c r="F6" s="109" t="s">
        <v>1049</v>
      </c>
    </row>
    <row r="7" spans="4:6" ht="14.5" x14ac:dyDescent="0.25">
      <c r="D7" s="11" t="s">
        <v>1050</v>
      </c>
      <c r="F7" s="110" t="s">
        <v>1051</v>
      </c>
    </row>
    <row r="8" spans="4:6" x14ac:dyDescent="0.25">
      <c r="F8" s="111" t="s">
        <v>1052</v>
      </c>
    </row>
    <row r="9" spans="4:6" x14ac:dyDescent="0.25">
      <c r="F9" s="112" t="s">
        <v>1053</v>
      </c>
    </row>
    <row r="10" spans="4:6" x14ac:dyDescent="0.25">
      <c r="F10" s="113" t="s">
        <v>1054</v>
      </c>
    </row>
    <row r="11" spans="4:6" x14ac:dyDescent="0.25">
      <c r="F11" s="114" t="s">
        <v>1055</v>
      </c>
    </row>
  </sheetData>
  <pageMargins left="0.7" right="0.7" top="0.75" bottom="0.75" header="0.3" footer="0.3"/>
  <pageSetup paperSize="256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37b00a-efaf-4c7c-933c-26e1132c899d">
      <Terms xmlns="http://schemas.microsoft.com/office/infopath/2007/PartnerControls"/>
    </lcf76f155ced4ddcb4097134ff3c332f>
    <TaxCatchAll xmlns="59e38fe1-9421-499d-b19a-20fd652923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00ACA83AACCA4B95B32876B1D50549" ma:contentTypeVersion="16" ma:contentTypeDescription="Create a new document." ma:contentTypeScope="" ma:versionID="71afaf7cf17e154cf7452a076da435f0">
  <xsd:schema xmlns:xsd="http://www.w3.org/2001/XMLSchema" xmlns:xs="http://www.w3.org/2001/XMLSchema" xmlns:p="http://schemas.microsoft.com/office/2006/metadata/properties" xmlns:ns2="5437b00a-efaf-4c7c-933c-26e1132c899d" xmlns:ns3="59e38fe1-9421-499d-b19a-20fd652923d3" targetNamespace="http://schemas.microsoft.com/office/2006/metadata/properties" ma:root="true" ma:fieldsID="539aaa5c8e645998a7ccdf965c101d53" ns2:_="" ns3:_="">
    <xsd:import namespace="5437b00a-efaf-4c7c-933c-26e1132c899d"/>
    <xsd:import namespace="59e38fe1-9421-499d-b19a-20fd652923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7b00a-efaf-4c7c-933c-26e1132c89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4dd253f-523f-4b06-ba9d-a724ad43f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38fe1-9421-499d-b19a-20fd652923d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d3bf1b2-8834-4196-b618-ecfea53b63b6}" ma:internalName="TaxCatchAll" ma:showField="CatchAllData" ma:web="59e38fe1-9421-499d-b19a-20fd652923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6249F7-0B1D-4D31-B53E-8B3421579A15}">
  <ds:schemaRefs>
    <ds:schemaRef ds:uri="http://schemas.microsoft.com/office/2006/metadata/properties"/>
    <ds:schemaRef ds:uri="http://schemas.microsoft.com/office/infopath/2007/PartnerControls"/>
    <ds:schemaRef ds:uri="e991ec1d-6707-493c-ba52-69df247957c2"/>
    <ds:schemaRef ds:uri="d871cfff-176a-4ebf-a839-0b8ebab30419"/>
    <ds:schemaRef ds:uri="5437b00a-efaf-4c7c-933c-26e1132c899d"/>
    <ds:schemaRef ds:uri="59e38fe1-9421-499d-b19a-20fd652923d3"/>
  </ds:schemaRefs>
</ds:datastoreItem>
</file>

<file path=customXml/itemProps2.xml><?xml version="1.0" encoding="utf-8"?>
<ds:datastoreItem xmlns:ds="http://schemas.openxmlformats.org/officeDocument/2006/customXml" ds:itemID="{164CE4CA-F65F-4FA9-BFBD-2DF83A3145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7C96C9-7179-47C1-83A5-1CDE97095766}">
  <ds:schemaRefs>
    <ds:schemaRef ds:uri="http://www.w3.org/2001/XMLSchema"/>
  </ds:schemaRefs>
</ds:datastoreItem>
</file>

<file path=customXml/itemProps4.xml><?xml version="1.0" encoding="utf-8"?>
<ds:datastoreItem xmlns:ds="http://schemas.openxmlformats.org/officeDocument/2006/customXml" ds:itemID="{BBCDA481-B0EC-4627-8DCA-7BA04A07A8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7b00a-efaf-4c7c-933c-26e1132c899d"/>
    <ds:schemaRef ds:uri="59e38fe1-9421-499d-b19a-20fd652923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US_Holidays__2025_2034_</vt:lpstr>
      <vt:lpstr>Budget Line Items</vt:lpstr>
      <vt:lpstr>Importer Data Fields</vt:lpstr>
      <vt:lpstr>Estimate - 6 - 02.24</vt:lpstr>
      <vt:lpstr>Estimate - 5 - 02.23</vt:lpstr>
      <vt:lpstr>General Conditions - Original</vt:lpstr>
      <vt:lpstr>Estimate - 4 - 02.22</vt:lpstr>
      <vt:lpstr>Estimate - 3 - 02.21.24</vt:lpstr>
      <vt:lpstr>Estimate (2)</vt:lpstr>
      <vt:lpstr>Estimate - Original</vt:lpstr>
      <vt:lpstr>Procore Cost Codes</vt:lpstr>
      <vt:lpstr>Colors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FPConstruction@fendlerpatterson.com</dc:creator>
  <cp:keywords/>
  <dc:description/>
  <cp:lastModifiedBy>Ben Urness</cp:lastModifiedBy>
  <cp:revision/>
  <cp:lastPrinted>2026-04-09T15:45:13Z</cp:lastPrinted>
  <dcterms:created xsi:type="dcterms:W3CDTF">2024-02-17T23:36:01Z</dcterms:created>
  <dcterms:modified xsi:type="dcterms:W3CDTF">2026-05-07T00:05:57Z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{777C96C9-7179-47C1-83A5-1CDE97095766}</vt:lpwstr>
  </property>
  <property fmtid="{D5CDD505-2E9C-101B-9397-08002B2CF9AE}" pid="5" name="ContentTypeId">
    <vt:lpwstr>0x010100B300ACA83AACCA4B95B32876B1D50549</vt:lpwstr>
  </property>
  <property fmtid="{D5CDD505-2E9C-101B-9397-08002B2CF9AE}" pid="6" name="MediaServiceImageTags">
    <vt:lpwstr/>
  </property>
</Properties>
</file>